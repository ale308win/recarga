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 de Recarga\"/>
    </mc:Choice>
  </mc:AlternateContent>
  <xr:revisionPtr revIDLastSave="0" documentId="8_{DE6CD773-D47F-4B2D-A283-456613628DFB}" xr6:coauthVersionLast="47" xr6:coauthVersionMax="47" xr10:uidLastSave="{00000000-0000-0000-0000-000000000000}"/>
  <bookViews>
    <workbookView xWindow="-108" yWindow="-108" windowWidth="23256" windowHeight="12456" xr2:uid="{2ACAD40B-0AFA-48BB-9013-83E0E5E48D83}"/>
  </bookViews>
  <sheets>
    <sheet name="custo da recarga" sheetId="1" r:id="rId1"/>
  </sheets>
  <definedNames>
    <definedName name="_xlnm.Print_Area" localSheetId="0">'custo da recarga'!$A$2:$AB$32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1" i="1" l="1"/>
  <c r="AE30" i="1"/>
  <c r="AE29" i="1"/>
  <c r="AE22" i="1"/>
  <c r="AE21" i="1"/>
  <c r="AE20" i="1"/>
  <c r="AE19" i="1"/>
  <c r="AE18" i="1"/>
  <c r="AE17" i="1"/>
  <c r="AE4" i="1"/>
  <c r="J31" i="1"/>
  <c r="L31" i="1" s="1"/>
  <c r="N31" i="1" s="1"/>
  <c r="I31" i="1"/>
  <c r="F31" i="1"/>
  <c r="D31" i="1"/>
  <c r="J30" i="1"/>
  <c r="L30" i="1" s="1"/>
  <c r="N30" i="1" s="1"/>
  <c r="I30" i="1"/>
  <c r="F30" i="1"/>
  <c r="D30" i="1"/>
  <c r="J29" i="1"/>
  <c r="L29" i="1" s="1"/>
  <c r="N29" i="1" s="1"/>
  <c r="I29" i="1"/>
  <c r="F29" i="1"/>
  <c r="D29" i="1"/>
  <c r="R28" i="1"/>
  <c r="L28" i="1"/>
  <c r="N28" i="1" s="1"/>
  <c r="J28" i="1"/>
  <c r="I28" i="1"/>
  <c r="D28" i="1"/>
  <c r="F28" i="1" s="1"/>
  <c r="R27" i="1"/>
  <c r="L27" i="1"/>
  <c r="N27" i="1" s="1"/>
  <c r="J27" i="1"/>
  <c r="I27" i="1"/>
  <c r="F27" i="1"/>
  <c r="D27" i="1"/>
  <c r="R26" i="1"/>
  <c r="L26" i="1"/>
  <c r="N26" i="1" s="1"/>
  <c r="J26" i="1"/>
  <c r="I26" i="1"/>
  <c r="F26" i="1"/>
  <c r="D26" i="1"/>
  <c r="R25" i="1"/>
  <c r="J25" i="1"/>
  <c r="L25" i="1" s="1"/>
  <c r="N25" i="1" s="1"/>
  <c r="I25" i="1"/>
  <c r="F25" i="1"/>
  <c r="D25" i="1"/>
  <c r="R24" i="1"/>
  <c r="J24" i="1"/>
  <c r="L24" i="1" s="1"/>
  <c r="N24" i="1" s="1"/>
  <c r="I24" i="1"/>
  <c r="D24" i="1"/>
  <c r="F24" i="1" s="1"/>
  <c r="R23" i="1"/>
  <c r="J23" i="1"/>
  <c r="L23" i="1" s="1"/>
  <c r="N23" i="1" s="1"/>
  <c r="I23" i="1"/>
  <c r="D23" i="1"/>
  <c r="F23" i="1" s="1"/>
  <c r="R22" i="1"/>
  <c r="N22" i="1"/>
  <c r="L22" i="1"/>
  <c r="J22" i="1"/>
  <c r="I22" i="1"/>
  <c r="D22" i="1"/>
  <c r="F22" i="1" s="1"/>
  <c r="R21" i="1"/>
  <c r="J21" i="1"/>
  <c r="L21" i="1" s="1"/>
  <c r="N21" i="1" s="1"/>
  <c r="I21" i="1"/>
  <c r="F21" i="1"/>
  <c r="D21" i="1"/>
  <c r="R20" i="1"/>
  <c r="L20" i="1"/>
  <c r="N20" i="1" s="1"/>
  <c r="J20" i="1"/>
  <c r="I20" i="1"/>
  <c r="D20" i="1"/>
  <c r="F20" i="1" s="1"/>
  <c r="R19" i="1"/>
  <c r="L19" i="1"/>
  <c r="N19" i="1" s="1"/>
  <c r="J19" i="1"/>
  <c r="I19" i="1"/>
  <c r="F19" i="1"/>
  <c r="D19" i="1"/>
  <c r="R18" i="1"/>
  <c r="L18" i="1"/>
  <c r="N18" i="1" s="1"/>
  <c r="J18" i="1"/>
  <c r="I18" i="1"/>
  <c r="F18" i="1"/>
  <c r="V18" i="1" s="1"/>
  <c r="D18" i="1"/>
  <c r="R17" i="1"/>
  <c r="J17" i="1"/>
  <c r="L17" i="1" s="1"/>
  <c r="N17" i="1" s="1"/>
  <c r="I17" i="1"/>
  <c r="F17" i="1"/>
  <c r="D17" i="1"/>
  <c r="R16" i="1"/>
  <c r="J16" i="1"/>
  <c r="L16" i="1" s="1"/>
  <c r="N16" i="1" s="1"/>
  <c r="I16" i="1"/>
  <c r="D16" i="1"/>
  <c r="F16" i="1" s="1"/>
  <c r="R15" i="1"/>
  <c r="J15" i="1"/>
  <c r="L15" i="1" s="1"/>
  <c r="N15" i="1" s="1"/>
  <c r="I15" i="1"/>
  <c r="D15" i="1"/>
  <c r="F15" i="1" s="1"/>
  <c r="R14" i="1"/>
  <c r="N14" i="1"/>
  <c r="L14" i="1"/>
  <c r="J14" i="1"/>
  <c r="I14" i="1"/>
  <c r="D14" i="1"/>
  <c r="F14" i="1" s="1"/>
  <c r="R13" i="1"/>
  <c r="J13" i="1"/>
  <c r="L13" i="1" s="1"/>
  <c r="N13" i="1" s="1"/>
  <c r="I13" i="1"/>
  <c r="F13" i="1"/>
  <c r="D13" i="1"/>
  <c r="R12" i="1"/>
  <c r="L12" i="1"/>
  <c r="N12" i="1" s="1"/>
  <c r="J12" i="1"/>
  <c r="I12" i="1"/>
  <c r="D12" i="1"/>
  <c r="F12" i="1" s="1"/>
  <c r="R11" i="1"/>
  <c r="L11" i="1"/>
  <c r="N11" i="1" s="1"/>
  <c r="J11" i="1"/>
  <c r="I11" i="1"/>
  <c r="F11" i="1"/>
  <c r="D11" i="1"/>
  <c r="R10" i="1"/>
  <c r="L10" i="1"/>
  <c r="N10" i="1" s="1"/>
  <c r="J10" i="1"/>
  <c r="I10" i="1"/>
  <c r="F10" i="1"/>
  <c r="D10" i="1"/>
  <c r="R9" i="1"/>
  <c r="J9" i="1"/>
  <c r="L9" i="1" s="1"/>
  <c r="N9" i="1" s="1"/>
  <c r="I9" i="1"/>
  <c r="F9" i="1"/>
  <c r="D9" i="1"/>
  <c r="R8" i="1"/>
  <c r="J8" i="1"/>
  <c r="L8" i="1" s="1"/>
  <c r="N8" i="1" s="1"/>
  <c r="I8" i="1"/>
  <c r="D8" i="1"/>
  <c r="F8" i="1" s="1"/>
  <c r="R7" i="1"/>
  <c r="J7" i="1"/>
  <c r="L7" i="1" s="1"/>
  <c r="N7" i="1" s="1"/>
  <c r="I7" i="1"/>
  <c r="D7" i="1"/>
  <c r="F7" i="1" s="1"/>
  <c r="R6" i="1"/>
  <c r="N6" i="1"/>
  <c r="L6" i="1"/>
  <c r="J6" i="1"/>
  <c r="I6" i="1"/>
  <c r="D6" i="1"/>
  <c r="F6" i="1" s="1"/>
  <c r="R5" i="1"/>
  <c r="J5" i="1"/>
  <c r="L5" i="1" s="1"/>
  <c r="N5" i="1" s="1"/>
  <c r="I5" i="1"/>
  <c r="F5" i="1"/>
  <c r="D5" i="1"/>
  <c r="R4" i="1"/>
  <c r="L4" i="1"/>
  <c r="N4" i="1" s="1"/>
  <c r="J4" i="1"/>
  <c r="I4" i="1"/>
  <c r="D4" i="1"/>
  <c r="F4" i="1" s="1"/>
  <c r="Z4" i="1" l="1"/>
  <c r="X25" i="1"/>
  <c r="V8" i="1"/>
  <c r="W8" i="1" s="1"/>
  <c r="Z12" i="1"/>
  <c r="X22" i="1"/>
  <c r="V22" i="1"/>
  <c r="Y25" i="1"/>
  <c r="X16" i="1"/>
  <c r="V16" i="1"/>
  <c r="W16" i="1" s="1"/>
  <c r="Y22" i="1"/>
  <c r="Z25" i="1"/>
  <c r="X30" i="1"/>
  <c r="X10" i="1"/>
  <c r="Y16" i="1"/>
  <c r="X24" i="1"/>
  <c r="V24" i="1"/>
  <c r="W24" i="1" s="1"/>
  <c r="AA25" i="1"/>
  <c r="Z28" i="1"/>
  <c r="V14" i="1"/>
  <c r="X14" i="1" s="1"/>
  <c r="V28" i="1"/>
  <c r="W28" i="1" s="1"/>
  <c r="X28" i="1"/>
  <c r="Z14" i="1"/>
  <c r="Z16" i="1"/>
  <c r="W18" i="1"/>
  <c r="AA18" i="1"/>
  <c r="Y27" i="1"/>
  <c r="V30" i="1"/>
  <c r="Z30" i="1"/>
  <c r="Y6" i="1"/>
  <c r="Y23" i="1"/>
  <c r="V11" i="1"/>
  <c r="Z11" i="1" s="1"/>
  <c r="V4" i="1"/>
  <c r="W4" i="1" s="1"/>
  <c r="X4" i="1"/>
  <c r="V7" i="1"/>
  <c r="X7" i="1"/>
  <c r="AA16" i="1"/>
  <c r="Y18" i="1"/>
  <c r="Z19" i="1"/>
  <c r="V19" i="1"/>
  <c r="Y7" i="1"/>
  <c r="X9" i="1"/>
  <c r="Z10" i="1"/>
  <c r="V12" i="1"/>
  <c r="W12" i="1" s="1"/>
  <c r="Z13" i="1"/>
  <c r="V15" i="1"/>
  <c r="X15" i="1"/>
  <c r="AA24" i="1"/>
  <c r="Y26" i="1"/>
  <c r="Z27" i="1"/>
  <c r="X29" i="1"/>
  <c r="Z15" i="1"/>
  <c r="Z22" i="1"/>
  <c r="V6" i="1"/>
  <c r="Z7" i="1"/>
  <c r="Y15" i="1"/>
  <c r="V17" i="1"/>
  <c r="W17" i="1" s="1"/>
  <c r="Z18" i="1"/>
  <c r="V20" i="1"/>
  <c r="W20" i="1" s="1"/>
  <c r="V23" i="1"/>
  <c r="Y29" i="1"/>
  <c r="Y31" i="1"/>
  <c r="X18" i="1"/>
  <c r="V9" i="1"/>
  <c r="W9" i="1" s="1"/>
  <c r="V25" i="1"/>
  <c r="W25" i="1" s="1"/>
  <c r="V27" i="1"/>
  <c r="V29" i="1"/>
  <c r="V31" i="1"/>
  <c r="V5" i="1"/>
  <c r="W5" i="1" s="1"/>
  <c r="V13" i="1"/>
  <c r="W13" i="1" s="1"/>
  <c r="V21" i="1"/>
  <c r="V10" i="1"/>
  <c r="V26" i="1"/>
  <c r="W26" i="1" s="1"/>
  <c r="Y21" i="1" l="1"/>
  <c r="W21" i="1"/>
  <c r="AA6" i="1"/>
  <c r="W6" i="1"/>
  <c r="X21" i="1"/>
  <c r="Z6" i="1"/>
  <c r="X6" i="1"/>
  <c r="X19" i="1"/>
  <c r="W19" i="1"/>
  <c r="AA19" i="1"/>
  <c r="Y20" i="1"/>
  <c r="X5" i="1"/>
  <c r="AA12" i="1"/>
  <c r="Y14" i="1"/>
  <c r="AA21" i="1"/>
  <c r="W29" i="1"/>
  <c r="AA29" i="1"/>
  <c r="AA23" i="1"/>
  <c r="W23" i="1"/>
  <c r="AA13" i="1"/>
  <c r="Z23" i="1"/>
  <c r="AA5" i="1"/>
  <c r="Y5" i="1"/>
  <c r="AA30" i="1"/>
  <c r="Y30" i="1"/>
  <c r="W30" i="1"/>
  <c r="X13" i="1"/>
  <c r="Y19" i="1"/>
  <c r="Y28" i="1"/>
  <c r="X8" i="1"/>
  <c r="Y11" i="1"/>
  <c r="AA31" i="1"/>
  <c r="W31" i="1"/>
  <c r="Z5" i="1"/>
  <c r="AA14" i="1"/>
  <c r="W14" i="1"/>
  <c r="AA20" i="1"/>
  <c r="Y8" i="1"/>
  <c r="AA27" i="1"/>
  <c r="W27" i="1"/>
  <c r="X23" i="1"/>
  <c r="Y12" i="1"/>
  <c r="Z26" i="1"/>
  <c r="W15" i="1"/>
  <c r="AA15" i="1"/>
  <c r="Y4" i="1"/>
  <c r="Y13" i="1"/>
  <c r="Z17" i="1"/>
  <c r="AA28" i="1"/>
  <c r="AA8" i="1"/>
  <c r="Z9" i="1"/>
  <c r="Z20" i="1"/>
  <c r="AA26" i="1"/>
  <c r="Z29" i="1"/>
  <c r="AA11" i="1"/>
  <c r="W11" i="1"/>
  <c r="X17" i="1"/>
  <c r="Z21" i="1"/>
  <c r="Y9" i="1"/>
  <c r="X26" i="1"/>
  <c r="AA9" i="1"/>
  <c r="X11" i="1"/>
  <c r="AA17" i="1"/>
  <c r="Y10" i="1"/>
  <c r="W10" i="1"/>
  <c r="AA10" i="1"/>
  <c r="X20" i="1"/>
  <c r="X31" i="1"/>
  <c r="X12" i="1"/>
  <c r="Z24" i="1"/>
  <c r="W7" i="1"/>
  <c r="AA7" i="1"/>
  <c r="Z31" i="1"/>
  <c r="Y24" i="1"/>
  <c r="AA4" i="1"/>
  <c r="X27" i="1"/>
  <c r="Z8" i="1"/>
  <c r="AA22" i="1"/>
  <c r="W22" i="1"/>
  <c r="Y17" i="1"/>
</calcChain>
</file>

<file path=xl/sharedStrings.xml><?xml version="1.0" encoding="utf-8"?>
<sst xmlns="http://schemas.openxmlformats.org/spreadsheetml/2006/main" count="150" uniqueCount="55">
  <si>
    <t>Embalagem Polvora por kg</t>
  </si>
  <si>
    <t>Composição dos Custos</t>
  </si>
  <si>
    <t>Calibre</t>
  </si>
  <si>
    <t>ESTOJO</t>
  </si>
  <si>
    <t>Espoleta</t>
  </si>
  <si>
    <t>Pólvora</t>
  </si>
  <si>
    <t>Projétil</t>
  </si>
  <si>
    <t>Total</t>
  </si>
  <si>
    <t>Cutos Total (Perda 10%)</t>
  </si>
  <si>
    <t>Estojo</t>
  </si>
  <si>
    <t>QTD</t>
  </si>
  <si>
    <t>Valor</t>
  </si>
  <si>
    <t>Unit</t>
  </si>
  <si>
    <t>Vida</t>
  </si>
  <si>
    <t>Custo</t>
  </si>
  <si>
    <t>Gr (Grains)</t>
  </si>
  <si>
    <t>Carga (Gr)</t>
  </si>
  <si>
    <t>Tipo</t>
  </si>
  <si>
    <t>Peso</t>
  </si>
  <si>
    <t>Fabricante</t>
  </si>
  <si>
    <t>.300 Win Mag</t>
  </si>
  <si>
    <t>CBC 126</t>
  </si>
  <si>
    <t>ETPT</t>
  </si>
  <si>
    <t>CBC</t>
  </si>
  <si>
    <t>JSP</t>
  </si>
  <si>
    <t>Buffalo</t>
  </si>
  <si>
    <t>.308 win</t>
  </si>
  <si>
    <t>CBC 102</t>
  </si>
  <si>
    <t>5.56x45</t>
  </si>
  <si>
    <t>M193</t>
  </si>
  <si>
    <t>.45 ACP</t>
  </si>
  <si>
    <t>CBC 219</t>
  </si>
  <si>
    <t>SCV Pint</t>
  </si>
  <si>
    <t>FMC</t>
  </si>
  <si>
    <t>.40SW</t>
  </si>
  <si>
    <t>CBC 231</t>
  </si>
  <si>
    <t>CT Pint</t>
  </si>
  <si>
    <t>Imbel PP40</t>
  </si>
  <si>
    <t>9mmPA</t>
  </si>
  <si>
    <t>Og Pint</t>
  </si>
  <si>
    <t>Imbel 0900</t>
  </si>
  <si>
    <t>.380ACP</t>
  </si>
  <si>
    <t>CBC 216</t>
  </si>
  <si>
    <t>CBC 210</t>
  </si>
  <si>
    <t>.44 Mag</t>
  </si>
  <si>
    <t>CBC 220</t>
  </si>
  <si>
    <t>JHP</t>
  </si>
  <si>
    <t>.357 Mag</t>
  </si>
  <si>
    <t>.38SPL</t>
  </si>
  <si>
    <t>imbel Tucano</t>
  </si>
  <si>
    <t>Munição nova</t>
  </si>
  <si>
    <t>Quantidade</t>
  </si>
  <si>
    <t>Unitário</t>
  </si>
  <si>
    <t>Economia</t>
  </si>
  <si>
    <t>A cada sessão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</si>
</sst>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.00_);_(&quot;$&quot;* \(#,##0.00\);_(&quot;$&quot;* &quot;-&quot;??_);_(@_)"/>
    <numFmt numFmtId="165" formatCode="_-[$R$-416]* #,##0.00_-;\-[$R$-416]* #,##0.00_-;_-[$R$-416]* &quot;-&quot;??_-;_-@_-"/>
    <numFmt numFmtId="166" formatCode="0.00\ &quot;KG&quot;"/>
    <numFmt numFmtId="167" formatCode="_-[$R$-416]* #,##0.0000_-;\-[$R$-416]* #,##0.0000_-;_-[$R$-416]* &quot;-&quot;??_-;_-@_-"/>
    <numFmt numFmtId="168" formatCode="_-[$R$-416]* #,##0.000000_-;\-[$R$-416]* #,##0.000000_-;_-[$R$-416]* &quot;-&quot;??_-;_-@_-"/>
    <numFmt numFmtId="169" formatCode="_(&quot;$&quot;* #,##0.000_);_(&quot;$&quot;* \(#,##0.000\);_(&quot;$&quot;* &quot;-&quot;??_);_(@_)"/>
    <numFmt numFmtId="170" formatCode="#,##0\ &quot;grains&quot;"/>
    <numFmt numFmtId="171" formatCode="_-[$R$-416]\ * #,##0.00_-;\-[$R$-416]\ * #,##0.00_-;_-[$R$-416]\ * &quot;-&quot;??_-;_-@_-"/>
    <numFmt numFmtId="172" formatCode="0\ &quot;tiro&quot;"/>
    <numFmt numFmtId="173" formatCode="0\ &quot;tiros&quot;"/>
    <numFmt numFmtId="175" formatCode="#,##0\ &quot;tiros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166" fontId="4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65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4" fontId="6" fillId="2" borderId="1" xfId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7" fontId="2" fillId="0" borderId="0" xfId="1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164" fontId="4" fillId="0" borderId="0" xfId="1" applyFont="1" applyBorder="1" applyAlignment="1">
      <alignment vertical="center"/>
    </xf>
    <xf numFmtId="168" fontId="2" fillId="0" borderId="0" xfId="1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9" fontId="2" fillId="0" borderId="0" xfId="1" applyNumberFormat="1" applyFont="1" applyBorder="1" applyAlignment="1">
      <alignment horizontal="center" vertical="center"/>
    </xf>
    <xf numFmtId="170" fontId="4" fillId="0" borderId="0" xfId="1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vertical="center"/>
    </xf>
    <xf numFmtId="165" fontId="2" fillId="0" borderId="9" xfId="0" applyNumberFormat="1" applyFont="1" applyBorder="1" applyAlignment="1">
      <alignment vertical="center"/>
    </xf>
    <xf numFmtId="9" fontId="2" fillId="0" borderId="0" xfId="2" applyFont="1" applyBorder="1" applyAlignment="1">
      <alignment horizontal="center" vertical="center"/>
    </xf>
    <xf numFmtId="9" fontId="2" fillId="0" borderId="11" xfId="2" applyFont="1" applyBorder="1" applyAlignment="1">
      <alignment horizontal="center" vertical="center"/>
    </xf>
    <xf numFmtId="165" fontId="4" fillId="0" borderId="0" xfId="1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165" fontId="4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64" fontId="4" fillId="0" borderId="1" xfId="1" applyFont="1" applyBorder="1" applyAlignment="1">
      <alignment vertical="center"/>
    </xf>
    <xf numFmtId="168" fontId="2" fillId="0" borderId="1" xfId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69" fontId="2" fillId="0" borderId="1" xfId="1" applyNumberFormat="1" applyFont="1" applyBorder="1" applyAlignment="1">
      <alignment horizontal="center" vertical="center"/>
    </xf>
    <xf numFmtId="170" fontId="4" fillId="0" borderId="1" xfId="1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9" fontId="2" fillId="0" borderId="1" xfId="2" applyFont="1" applyBorder="1" applyAlignment="1">
      <alignment horizontal="center" vertical="center"/>
    </xf>
    <xf numFmtId="9" fontId="2" fillId="0" borderId="8" xfId="2" applyFont="1" applyBorder="1" applyAlignment="1">
      <alignment horizontal="center" vertical="center"/>
    </xf>
    <xf numFmtId="10" fontId="2" fillId="0" borderId="0" xfId="2" applyNumberFormat="1" applyFont="1" applyAlignment="1">
      <alignment vertical="center"/>
    </xf>
    <xf numFmtId="164" fontId="2" fillId="0" borderId="0" xfId="1" applyFont="1" applyAlignment="1">
      <alignment vertical="center"/>
    </xf>
    <xf numFmtId="165" fontId="5" fillId="2" borderId="12" xfId="0" applyNumberFormat="1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72" fontId="3" fillId="2" borderId="13" xfId="0" applyNumberFormat="1" applyFont="1" applyFill="1" applyBorder="1" applyAlignment="1">
      <alignment horizontal="center" vertical="center"/>
    </xf>
    <xf numFmtId="173" fontId="3" fillId="2" borderId="13" xfId="0" applyNumberFormat="1" applyFont="1" applyFill="1" applyBorder="1" applyAlignment="1">
      <alignment horizontal="center" vertical="center"/>
    </xf>
    <xf numFmtId="175" fontId="3" fillId="2" borderId="13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1" fontId="2" fillId="0" borderId="13" xfId="1" applyNumberFormat="1" applyFont="1" applyBorder="1" applyAlignment="1">
      <alignment horizontal="center" vertical="center"/>
    </xf>
    <xf numFmtId="171" fontId="2" fillId="0" borderId="13" xfId="0" applyNumberFormat="1" applyFont="1" applyBorder="1" applyAlignment="1">
      <alignment vertical="center"/>
    </xf>
    <xf numFmtId="171" fontId="2" fillId="0" borderId="0" xfId="0" applyNumberFormat="1" applyFont="1" applyAlignment="1">
      <alignment horizontal="center" vertical="center"/>
    </xf>
    <xf numFmtId="171" fontId="3" fillId="2" borderId="13" xfId="0" applyNumberFormat="1" applyFont="1" applyFill="1" applyBorder="1" applyAlignment="1">
      <alignment horizontal="center" vertical="center"/>
    </xf>
    <xf numFmtId="171" fontId="2" fillId="0" borderId="13" xfId="0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F976-1F64-4B4C-84F1-3E29D8D8B3E3}">
  <sheetPr>
    <pageSetUpPr fitToPage="1"/>
  </sheetPr>
  <dimension ref="A1:AH39"/>
  <sheetViews>
    <sheetView showGridLines="0" tabSelected="1" workbookViewId="0"/>
  </sheetViews>
  <sheetFormatPr defaultColWidth="9.109375" defaultRowHeight="13.8" x14ac:dyDescent="0.3"/>
  <cols>
    <col min="1" max="1" width="12" style="1" bestFit="1" customWidth="1"/>
    <col min="2" max="2" width="4.33203125" style="2" bestFit="1" customWidth="1"/>
    <col min="3" max="3" width="11" style="3" bestFit="1" customWidth="1"/>
    <col min="4" max="4" width="8.5546875" style="3" bestFit="1" customWidth="1"/>
    <col min="5" max="5" width="4.44140625" style="2" bestFit="1" customWidth="1"/>
    <col min="6" max="6" width="6.5546875" style="1" bestFit="1" customWidth="1"/>
    <col min="7" max="7" width="5" style="1" bestFit="1" customWidth="1"/>
    <col min="8" max="8" width="9.5546875" style="3" bestFit="1" customWidth="1"/>
    <col min="9" max="9" width="9.5546875" style="4" bestFit="1" customWidth="1"/>
    <col min="10" max="10" width="22.109375" style="1" bestFit="1" customWidth="1"/>
    <col min="11" max="11" width="8.5546875" style="69" bestFit="1" customWidth="1"/>
    <col min="12" max="12" width="11.5546875" style="4" bestFit="1" customWidth="1"/>
    <col min="13" max="13" width="8.6640625" style="2" bestFit="1" customWidth="1"/>
    <col min="14" max="14" width="7.5546875" style="4" bestFit="1" customWidth="1"/>
    <col min="15" max="15" width="11.5546875" style="2" bestFit="1" customWidth="1"/>
    <col min="16" max="16" width="5" style="2" bestFit="1" customWidth="1"/>
    <col min="17" max="17" width="11" style="7" bestFit="1" customWidth="1"/>
    <col min="18" max="18" width="7.5546875" style="2" bestFit="1" customWidth="1"/>
    <col min="19" max="19" width="9.5546875" style="2" bestFit="1" customWidth="1"/>
    <col min="20" max="20" width="7.5546875" style="2" bestFit="1" customWidth="1"/>
    <col min="21" max="21" width="9.109375" style="2" bestFit="1" customWidth="1"/>
    <col min="22" max="22" width="7.5546875" style="4" bestFit="1" customWidth="1"/>
    <col min="23" max="23" width="10.5546875" style="4" customWidth="1"/>
    <col min="24" max="24" width="5.6640625" style="2" bestFit="1" customWidth="1"/>
    <col min="25" max="25" width="7.5546875" style="2" bestFit="1" customWidth="1"/>
    <col min="26" max="26" width="6.88671875" style="2" bestFit="1" customWidth="1"/>
    <col min="27" max="27" width="6.6640625" style="2" bestFit="1" customWidth="1"/>
    <col min="28" max="28" width="1.33203125" style="1" customWidth="1"/>
    <col min="29" max="29" width="12" style="82" bestFit="1" customWidth="1"/>
    <col min="30" max="30" width="10.21875" style="2" bestFit="1" customWidth="1"/>
    <col min="31" max="31" width="8" style="82" bestFit="1" customWidth="1"/>
    <col min="32" max="33" width="9.109375" style="1"/>
    <col min="34" max="34" width="14" style="1" bestFit="1" customWidth="1"/>
    <col min="35" max="16384" width="9.109375" style="1"/>
  </cols>
  <sheetData>
    <row r="1" spans="1:34" ht="14.4" thickBot="1" x14ac:dyDescent="0.35">
      <c r="J1" s="5" t="s">
        <v>0</v>
      </c>
      <c r="K1" s="6">
        <v>1</v>
      </c>
      <c r="W1" s="70">
        <v>0.1</v>
      </c>
      <c r="X1" s="8" t="s">
        <v>1</v>
      </c>
      <c r="Y1" s="8"/>
      <c r="Z1" s="8"/>
      <c r="AA1" s="8"/>
      <c r="AF1" s="73" t="s">
        <v>54</v>
      </c>
      <c r="AG1" s="74"/>
      <c r="AH1" s="75"/>
    </row>
    <row r="2" spans="1:34" x14ac:dyDescent="0.3">
      <c r="A2" s="9" t="s">
        <v>2</v>
      </c>
      <c r="B2" s="10" t="s">
        <v>3</v>
      </c>
      <c r="C2" s="11"/>
      <c r="D2" s="11"/>
      <c r="E2" s="11"/>
      <c r="F2" s="12"/>
      <c r="G2" s="10" t="s">
        <v>4</v>
      </c>
      <c r="H2" s="11"/>
      <c r="I2" s="12"/>
      <c r="J2" s="10" t="s">
        <v>5</v>
      </c>
      <c r="K2" s="11"/>
      <c r="L2" s="11"/>
      <c r="M2" s="11"/>
      <c r="N2" s="11"/>
      <c r="O2" s="12"/>
      <c r="P2" s="13" t="s">
        <v>6</v>
      </c>
      <c r="Q2" s="14"/>
      <c r="R2" s="14"/>
      <c r="S2" s="14"/>
      <c r="T2" s="14"/>
      <c r="U2" s="15"/>
      <c r="V2" s="16" t="s">
        <v>7</v>
      </c>
      <c r="W2" s="17" t="s">
        <v>8</v>
      </c>
      <c r="X2" s="14" t="s">
        <v>9</v>
      </c>
      <c r="Y2" s="14" t="s">
        <v>4</v>
      </c>
      <c r="Z2" s="14" t="s">
        <v>5</v>
      </c>
      <c r="AA2" s="15" t="s">
        <v>6</v>
      </c>
      <c r="AF2" s="76">
        <v>1</v>
      </c>
      <c r="AG2" s="77">
        <v>100</v>
      </c>
      <c r="AH2" s="78">
        <v>1000</v>
      </c>
    </row>
    <row r="3" spans="1:34" ht="14.4" thickBot="1" x14ac:dyDescent="0.35">
      <c r="A3" s="18"/>
      <c r="B3" s="19" t="s">
        <v>10</v>
      </c>
      <c r="C3" s="20" t="s">
        <v>11</v>
      </c>
      <c r="D3" s="20" t="s">
        <v>12</v>
      </c>
      <c r="E3" s="21" t="s">
        <v>13</v>
      </c>
      <c r="F3" s="22" t="s">
        <v>14</v>
      </c>
      <c r="G3" s="19" t="s">
        <v>10</v>
      </c>
      <c r="H3" s="20" t="s">
        <v>11</v>
      </c>
      <c r="I3" s="23" t="s">
        <v>14</v>
      </c>
      <c r="J3" s="19" t="s">
        <v>15</v>
      </c>
      <c r="K3" s="24" t="s">
        <v>11</v>
      </c>
      <c r="L3" s="23" t="s">
        <v>12</v>
      </c>
      <c r="M3" s="21" t="s">
        <v>16</v>
      </c>
      <c r="N3" s="23" t="s">
        <v>14</v>
      </c>
      <c r="O3" s="22" t="s">
        <v>17</v>
      </c>
      <c r="P3" s="19" t="s">
        <v>10</v>
      </c>
      <c r="Q3" s="20" t="s">
        <v>11</v>
      </c>
      <c r="R3" s="21" t="s">
        <v>14</v>
      </c>
      <c r="S3" s="21" t="s">
        <v>18</v>
      </c>
      <c r="T3" s="21" t="s">
        <v>17</v>
      </c>
      <c r="U3" s="25" t="s">
        <v>19</v>
      </c>
      <c r="V3" s="26"/>
      <c r="W3" s="27"/>
      <c r="X3" s="8"/>
      <c r="Y3" s="8"/>
      <c r="Z3" s="8"/>
      <c r="AA3" s="28"/>
      <c r="AC3" s="83" t="s">
        <v>50</v>
      </c>
      <c r="AD3" s="71" t="s">
        <v>51</v>
      </c>
      <c r="AE3" s="83" t="s">
        <v>52</v>
      </c>
      <c r="AF3" s="73" t="s">
        <v>53</v>
      </c>
      <c r="AG3" s="74"/>
      <c r="AH3" s="75"/>
    </row>
    <row r="4" spans="1:34" x14ac:dyDescent="0.3">
      <c r="A4" s="29" t="s">
        <v>20</v>
      </c>
      <c r="B4" s="30">
        <v>100</v>
      </c>
      <c r="C4" s="31">
        <v>4042.15</v>
      </c>
      <c r="D4" s="32">
        <f>C4/B4</f>
        <v>40.421500000000002</v>
      </c>
      <c r="E4" s="33">
        <v>15</v>
      </c>
      <c r="F4" s="34">
        <f>D4/E4</f>
        <v>2.6947666666666668</v>
      </c>
      <c r="G4" s="30">
        <v>1000</v>
      </c>
      <c r="H4" s="31">
        <v>638.30999999999995</v>
      </c>
      <c r="I4" s="35">
        <f>H4/G4</f>
        <v>0.63830999999999993</v>
      </c>
      <c r="J4" s="36">
        <f>($K$1*1000)*15.4324</f>
        <v>15432.4</v>
      </c>
      <c r="K4" s="37">
        <v>598.20000000000005</v>
      </c>
      <c r="L4" s="38">
        <f>K4/J4</f>
        <v>3.8762603353982537E-2</v>
      </c>
      <c r="M4" s="39">
        <v>69.5</v>
      </c>
      <c r="N4" s="4">
        <f t="shared" ref="N4:N28" si="0">M4*L4</f>
        <v>2.6940009331017865</v>
      </c>
      <c r="O4" s="40" t="s">
        <v>21</v>
      </c>
      <c r="P4" s="30">
        <v>500</v>
      </c>
      <c r="Q4" s="31">
        <v>1174.96</v>
      </c>
      <c r="R4" s="41">
        <f>Q4/P4</f>
        <v>2.34992</v>
      </c>
      <c r="S4" s="42">
        <v>150</v>
      </c>
      <c r="T4" s="33" t="s">
        <v>22</v>
      </c>
      <c r="U4" s="40" t="s">
        <v>23</v>
      </c>
      <c r="V4" s="43">
        <f>SUM(F4,I4,N4,R4)</f>
        <v>8.3769975997684547</v>
      </c>
      <c r="W4" s="44">
        <f>V4*(1+$W$1)</f>
        <v>9.2146973597453012</v>
      </c>
      <c r="X4" s="45">
        <f>F4/V4</f>
        <v>0.32168645562715115</v>
      </c>
      <c r="Y4" s="45">
        <f>I4/V4</f>
        <v>7.6197944716809185E-2</v>
      </c>
      <c r="Z4" s="45">
        <f>N4/V4</f>
        <v>0.32159504655656701</v>
      </c>
      <c r="AA4" s="46">
        <f>R4/V4</f>
        <v>0.28052055309947244</v>
      </c>
      <c r="AC4" s="80">
        <v>450</v>
      </c>
      <c r="AD4" s="79">
        <v>50</v>
      </c>
      <c r="AE4" s="80">
        <f>AC4/AD4</f>
        <v>9</v>
      </c>
      <c r="AF4" s="72"/>
      <c r="AG4" s="72"/>
      <c r="AH4" s="72"/>
    </row>
    <row r="5" spans="1:34" x14ac:dyDescent="0.3">
      <c r="A5" s="29" t="s">
        <v>20</v>
      </c>
      <c r="B5" s="30">
        <v>100</v>
      </c>
      <c r="C5" s="31">
        <v>4042.15</v>
      </c>
      <c r="D5" s="32">
        <f t="shared" ref="D5" si="1">C5/B5</f>
        <v>40.421500000000002</v>
      </c>
      <c r="E5" s="33">
        <v>15</v>
      </c>
      <c r="F5" s="34">
        <f t="shared" ref="F5" si="2">D5/E5</f>
        <v>2.6947666666666668</v>
      </c>
      <c r="G5" s="30">
        <v>1000</v>
      </c>
      <c r="H5" s="31">
        <v>638.30999999999995</v>
      </c>
      <c r="I5" s="35">
        <f t="shared" ref="I5" si="3">H5/G5</f>
        <v>0.63830999999999993</v>
      </c>
      <c r="J5" s="36">
        <f t="shared" ref="J5:J31" si="4">($K$1*1000)*15.4324</f>
        <v>15432.4</v>
      </c>
      <c r="K5" s="37">
        <v>598.20000000000005</v>
      </c>
      <c r="L5" s="38">
        <f t="shared" ref="L5" si="5">K5/J5</f>
        <v>3.8762603353982537E-2</v>
      </c>
      <c r="M5" s="39">
        <v>64.5</v>
      </c>
      <c r="N5" s="4">
        <f t="shared" si="0"/>
        <v>2.5001879163318739</v>
      </c>
      <c r="O5" s="40" t="s">
        <v>21</v>
      </c>
      <c r="P5" s="30">
        <v>1000</v>
      </c>
      <c r="Q5" s="31">
        <v>2215</v>
      </c>
      <c r="R5" s="41">
        <f>Q5/P5</f>
        <v>2.2149999999999999</v>
      </c>
      <c r="S5" s="42">
        <v>168</v>
      </c>
      <c r="T5" s="33" t="s">
        <v>24</v>
      </c>
      <c r="U5" s="40" t="s">
        <v>25</v>
      </c>
      <c r="V5" s="43">
        <f t="shared" ref="V5" si="6">SUM(F5,I5,N5,R5)</f>
        <v>8.0482645829985415</v>
      </c>
      <c r="W5" s="44">
        <f t="shared" ref="W5:W31" si="7">V5*(1+$W$1)</f>
        <v>8.8530910412983967</v>
      </c>
      <c r="X5" s="45">
        <f t="shared" ref="X5" si="8">F5/V5</f>
        <v>0.33482580485228997</v>
      </c>
      <c r="Y5" s="45">
        <f t="shared" ref="Y5" si="9">I5/V5</f>
        <v>7.9310265389185897E-2</v>
      </c>
      <c r="Z5" s="45">
        <f t="shared" ref="Z5" si="10">N5/V5</f>
        <v>0.31064931955807784</v>
      </c>
      <c r="AA5" s="46">
        <f t="shared" ref="AA5" si="11">R5/V5</f>
        <v>0.27521461020044613</v>
      </c>
      <c r="AC5" s="84"/>
      <c r="AD5" s="79"/>
      <c r="AE5" s="84"/>
      <c r="AF5" s="72"/>
      <c r="AG5" s="72"/>
      <c r="AH5" s="72"/>
    </row>
    <row r="6" spans="1:34" x14ac:dyDescent="0.3">
      <c r="A6" s="29" t="s">
        <v>26</v>
      </c>
      <c r="B6" s="30">
        <v>500</v>
      </c>
      <c r="C6" s="31">
        <v>2349.19</v>
      </c>
      <c r="D6" s="32">
        <f>C6/B6</f>
        <v>4.6983800000000002</v>
      </c>
      <c r="E6" s="33">
        <v>18</v>
      </c>
      <c r="F6" s="34">
        <f>D6/E6</f>
        <v>0.26102111111111115</v>
      </c>
      <c r="G6" s="30">
        <v>1000</v>
      </c>
      <c r="H6" s="31">
        <v>638.30999999999995</v>
      </c>
      <c r="I6" s="35">
        <f>H6/G6</f>
        <v>0.63830999999999993</v>
      </c>
      <c r="J6" s="36">
        <f t="shared" si="4"/>
        <v>15432.4</v>
      </c>
      <c r="K6" s="37">
        <v>598.20000000000005</v>
      </c>
      <c r="L6" s="38">
        <f>K6/J6</f>
        <v>3.8762603353982537E-2</v>
      </c>
      <c r="M6" s="39">
        <v>41.3</v>
      </c>
      <c r="N6" s="4">
        <f t="shared" si="0"/>
        <v>1.6008955185194786</v>
      </c>
      <c r="O6" s="40" t="s">
        <v>27</v>
      </c>
      <c r="P6" s="30">
        <v>500</v>
      </c>
      <c r="Q6" s="31">
        <v>1174.96</v>
      </c>
      <c r="R6" s="41">
        <f>Q6/P6</f>
        <v>2.34992</v>
      </c>
      <c r="S6" s="42">
        <v>150</v>
      </c>
      <c r="T6" s="33" t="s">
        <v>22</v>
      </c>
      <c r="U6" s="40" t="s">
        <v>23</v>
      </c>
      <c r="V6" s="43">
        <f>SUM(F6,I6,N6,R6)</f>
        <v>4.85014662963059</v>
      </c>
      <c r="W6" s="44">
        <f t="shared" si="7"/>
        <v>5.3351612925936491</v>
      </c>
      <c r="X6" s="45">
        <f>F6/V6</f>
        <v>5.3817158746598912E-2</v>
      </c>
      <c r="Y6" s="45">
        <f>I6/V6</f>
        <v>0.13160633043554326</v>
      </c>
      <c r="Z6" s="45">
        <f>N6/V6</f>
        <v>0.33007157118493352</v>
      </c>
      <c r="AA6" s="46">
        <f>R6/V6</f>
        <v>0.48450493963292424</v>
      </c>
      <c r="AC6" s="84"/>
      <c r="AD6" s="79"/>
      <c r="AE6" s="84"/>
      <c r="AF6" s="72"/>
      <c r="AG6" s="72"/>
      <c r="AH6" s="72"/>
    </row>
    <row r="7" spans="1:34" x14ac:dyDescent="0.3">
      <c r="A7" s="29" t="s">
        <v>26</v>
      </c>
      <c r="B7" s="30">
        <v>500</v>
      </c>
      <c r="C7" s="31">
        <v>2349.19</v>
      </c>
      <c r="D7" s="32">
        <f>C7/B7</f>
        <v>4.6983800000000002</v>
      </c>
      <c r="E7" s="33">
        <v>18</v>
      </c>
      <c r="F7" s="34">
        <f>D7/E7</f>
        <v>0.26102111111111115</v>
      </c>
      <c r="G7" s="30">
        <v>1000</v>
      </c>
      <c r="H7" s="31">
        <v>638.30999999999995</v>
      </c>
      <c r="I7" s="35">
        <f>H7/G7</f>
        <v>0.63830999999999993</v>
      </c>
      <c r="J7" s="36">
        <f t="shared" si="4"/>
        <v>15432.4</v>
      </c>
      <c r="K7" s="37">
        <v>598.20000000000005</v>
      </c>
      <c r="L7" s="38">
        <f>K7/J7</f>
        <v>3.8762603353982537E-2</v>
      </c>
      <c r="M7" s="39">
        <v>38.200000000000003</v>
      </c>
      <c r="N7" s="4">
        <f t="shared" si="0"/>
        <v>1.480731448122133</v>
      </c>
      <c r="O7" s="40" t="s">
        <v>27</v>
      </c>
      <c r="P7" s="30">
        <v>1000</v>
      </c>
      <c r="Q7" s="31">
        <v>2215</v>
      </c>
      <c r="R7" s="41">
        <f>Q7/P7</f>
        <v>2.2149999999999999</v>
      </c>
      <c r="S7" s="42">
        <v>168</v>
      </c>
      <c r="T7" s="33" t="s">
        <v>24</v>
      </c>
      <c r="U7" s="40" t="s">
        <v>25</v>
      </c>
      <c r="V7" s="43">
        <f t="shared" ref="V7:V31" si="12">SUM(F7,I7,N7,R7)</f>
        <v>4.5950625592332441</v>
      </c>
      <c r="W7" s="44">
        <f t="shared" si="7"/>
        <v>5.0545688151565686</v>
      </c>
      <c r="X7" s="45">
        <f t="shared" ref="X7:X31" si="13">F7/V7</f>
        <v>5.6804691502321238E-2</v>
      </c>
      <c r="Y7" s="45">
        <f t="shared" ref="Y7:Y31" si="14">I7/V7</f>
        <v>0.13891214575901478</v>
      </c>
      <c r="Z7" s="45">
        <f t="shared" ref="Z7:Z31" si="15">N7/V7</f>
        <v>0.32224402367423166</v>
      </c>
      <c r="AA7" s="46">
        <f t="shared" ref="AA7:AA31" si="16">R7/V7</f>
        <v>0.4820391390644323</v>
      </c>
      <c r="AC7" s="84"/>
      <c r="AD7" s="79"/>
      <c r="AE7" s="84"/>
      <c r="AF7" s="72"/>
      <c r="AG7" s="72"/>
      <c r="AH7" s="72"/>
    </row>
    <row r="8" spans="1:34" x14ac:dyDescent="0.3">
      <c r="A8" s="29" t="s">
        <v>28</v>
      </c>
      <c r="B8" s="30">
        <v>500</v>
      </c>
      <c r="C8" s="31">
        <v>2237.3000000000002</v>
      </c>
      <c r="D8" s="32">
        <f t="shared" ref="D8:D31" si="17">C8/B8</f>
        <v>4.4746000000000006</v>
      </c>
      <c r="E8" s="33">
        <v>14</v>
      </c>
      <c r="F8" s="34">
        <f t="shared" ref="F8:F31" si="18">D8/E8</f>
        <v>0.31961428571428574</v>
      </c>
      <c r="G8" s="30">
        <v>1000</v>
      </c>
      <c r="H8" s="31">
        <v>638.30999999999995</v>
      </c>
      <c r="I8" s="35">
        <f t="shared" ref="I8:I31" si="19">H8/G8</f>
        <v>0.63830999999999993</v>
      </c>
      <c r="J8" s="36">
        <f t="shared" si="4"/>
        <v>15432.4</v>
      </c>
      <c r="K8" s="37">
        <v>598.20000000000005</v>
      </c>
      <c r="L8" s="38">
        <f t="shared" ref="L8:L31" si="20">K8/J8</f>
        <v>3.8762603353982537E-2</v>
      </c>
      <c r="M8" s="39">
        <v>24.5</v>
      </c>
      <c r="N8" s="4">
        <f t="shared" si="0"/>
        <v>0.94968378217257221</v>
      </c>
      <c r="O8" s="40" t="s">
        <v>27</v>
      </c>
      <c r="P8" s="30">
        <v>500</v>
      </c>
      <c r="Q8" s="31">
        <v>652.30999999999995</v>
      </c>
      <c r="R8" s="41">
        <f t="shared" ref="R8:R28" si="21">Q8/P8</f>
        <v>1.3046199999999999</v>
      </c>
      <c r="S8" s="42">
        <v>55</v>
      </c>
      <c r="T8" s="33" t="s">
        <v>29</v>
      </c>
      <c r="U8" s="40" t="s">
        <v>23</v>
      </c>
      <c r="V8" s="43">
        <f t="shared" si="12"/>
        <v>3.2122280678868576</v>
      </c>
      <c r="W8" s="44">
        <f t="shared" si="7"/>
        <v>3.5334508746755438</v>
      </c>
      <c r="X8" s="45">
        <f t="shared" si="13"/>
        <v>9.9499250663276168E-2</v>
      </c>
      <c r="Y8" s="45">
        <f t="shared" si="14"/>
        <v>0.19871254048904063</v>
      </c>
      <c r="Z8" s="45">
        <f t="shared" si="15"/>
        <v>0.2956464367106148</v>
      </c>
      <c r="AA8" s="46">
        <f t="shared" si="16"/>
        <v>0.40614177213706848</v>
      </c>
      <c r="AC8" s="84"/>
      <c r="AD8" s="79"/>
      <c r="AE8" s="84"/>
      <c r="AF8" s="72"/>
      <c r="AG8" s="72"/>
      <c r="AH8" s="72"/>
    </row>
    <row r="9" spans="1:34" x14ac:dyDescent="0.3">
      <c r="A9" s="29" t="s">
        <v>28</v>
      </c>
      <c r="B9" s="30">
        <v>500</v>
      </c>
      <c r="C9" s="31">
        <v>2237.3000000000002</v>
      </c>
      <c r="D9" s="32">
        <f t="shared" si="17"/>
        <v>4.4746000000000006</v>
      </c>
      <c r="E9" s="33">
        <v>14</v>
      </c>
      <c r="F9" s="34">
        <f t="shared" si="18"/>
        <v>0.31961428571428574</v>
      </c>
      <c r="G9" s="30">
        <v>1000</v>
      </c>
      <c r="H9" s="31">
        <v>638.30999999999995</v>
      </c>
      <c r="I9" s="35">
        <f t="shared" si="19"/>
        <v>0.63830999999999993</v>
      </c>
      <c r="J9" s="36">
        <f t="shared" si="4"/>
        <v>15432.4</v>
      </c>
      <c r="K9" s="37">
        <v>598.20000000000005</v>
      </c>
      <c r="L9" s="38">
        <f t="shared" si="20"/>
        <v>3.8762603353982537E-2</v>
      </c>
      <c r="M9" s="39">
        <v>24.1</v>
      </c>
      <c r="N9" s="4">
        <f t="shared" si="0"/>
        <v>0.93417874083097918</v>
      </c>
      <c r="O9" s="40" t="s">
        <v>27</v>
      </c>
      <c r="P9" s="30">
        <v>1000</v>
      </c>
      <c r="Q9" s="31">
        <v>1780</v>
      </c>
      <c r="R9" s="41">
        <f t="shared" si="21"/>
        <v>1.78</v>
      </c>
      <c r="S9" s="42">
        <v>55</v>
      </c>
      <c r="T9" s="33" t="s">
        <v>24</v>
      </c>
      <c r="U9" s="40" t="s">
        <v>25</v>
      </c>
      <c r="V9" s="43">
        <f t="shared" si="12"/>
        <v>3.6721030265452645</v>
      </c>
      <c r="W9" s="44">
        <f t="shared" si="7"/>
        <v>4.0393133291997909</v>
      </c>
      <c r="X9" s="45">
        <f t="shared" si="13"/>
        <v>8.7038485413896652E-2</v>
      </c>
      <c r="Y9" s="45">
        <f t="shared" si="14"/>
        <v>0.17382682222849438</v>
      </c>
      <c r="Z9" s="45">
        <f t="shared" si="15"/>
        <v>0.25439883741765817</v>
      </c>
      <c r="AA9" s="46">
        <f t="shared" si="16"/>
        <v>0.48473585493995092</v>
      </c>
      <c r="AC9" s="84"/>
      <c r="AD9" s="79"/>
      <c r="AE9" s="84"/>
      <c r="AF9" s="72"/>
      <c r="AG9" s="72"/>
      <c r="AH9" s="72"/>
    </row>
    <row r="10" spans="1:34" x14ac:dyDescent="0.3">
      <c r="A10" s="29" t="s">
        <v>30</v>
      </c>
      <c r="B10" s="30">
        <v>500</v>
      </c>
      <c r="C10" s="31">
        <v>1715.28</v>
      </c>
      <c r="D10" s="32">
        <f t="shared" si="17"/>
        <v>3.4305599999999998</v>
      </c>
      <c r="E10" s="33">
        <v>20</v>
      </c>
      <c r="F10" s="34">
        <f t="shared" si="18"/>
        <v>0.17152799999999999</v>
      </c>
      <c r="G10" s="30">
        <v>1000</v>
      </c>
      <c r="H10" s="31">
        <v>638.30999999999995</v>
      </c>
      <c r="I10" s="35">
        <f t="shared" si="19"/>
        <v>0.63830999999999993</v>
      </c>
      <c r="J10" s="36">
        <f t="shared" si="4"/>
        <v>15432.4</v>
      </c>
      <c r="K10" s="37">
        <v>598.20000000000005</v>
      </c>
      <c r="L10" s="38">
        <f t="shared" si="20"/>
        <v>3.8762603353982537E-2</v>
      </c>
      <c r="M10" s="39">
        <v>6.4</v>
      </c>
      <c r="N10" s="4">
        <f t="shared" si="0"/>
        <v>0.24808066146548824</v>
      </c>
      <c r="O10" s="40" t="s">
        <v>31</v>
      </c>
      <c r="P10" s="30">
        <v>1000</v>
      </c>
      <c r="Q10" s="31">
        <v>655</v>
      </c>
      <c r="R10" s="41">
        <f t="shared" si="21"/>
        <v>0.65500000000000003</v>
      </c>
      <c r="S10" s="42">
        <v>200</v>
      </c>
      <c r="T10" s="33" t="s">
        <v>32</v>
      </c>
      <c r="U10" s="40" t="s">
        <v>25</v>
      </c>
      <c r="V10" s="43">
        <f t="shared" si="12"/>
        <v>1.7129186614654881</v>
      </c>
      <c r="W10" s="44">
        <f t="shared" si="7"/>
        <v>1.8842105276120371</v>
      </c>
      <c r="X10" s="45">
        <f t="shared" si="13"/>
        <v>0.10013785467971326</v>
      </c>
      <c r="Y10" s="45">
        <f t="shared" si="14"/>
        <v>0.37264466454810741</v>
      </c>
      <c r="Z10" s="45">
        <f t="shared" si="15"/>
        <v>0.14482921287881981</v>
      </c>
      <c r="AA10" s="46">
        <f t="shared" si="16"/>
        <v>0.38238826789335961</v>
      </c>
      <c r="AC10" s="84"/>
      <c r="AD10" s="79"/>
      <c r="AE10" s="84"/>
      <c r="AF10" s="72"/>
      <c r="AG10" s="72"/>
      <c r="AH10" s="72"/>
    </row>
    <row r="11" spans="1:34" x14ac:dyDescent="0.3">
      <c r="A11" s="29" t="s">
        <v>30</v>
      </c>
      <c r="B11" s="30">
        <v>500</v>
      </c>
      <c r="C11" s="31">
        <v>1715.28</v>
      </c>
      <c r="D11" s="32">
        <f t="shared" si="17"/>
        <v>3.4305599999999998</v>
      </c>
      <c r="E11" s="33">
        <v>20</v>
      </c>
      <c r="F11" s="34">
        <f t="shared" si="18"/>
        <v>0.17152799999999999</v>
      </c>
      <c r="G11" s="30">
        <v>1000</v>
      </c>
      <c r="H11" s="31">
        <v>638.30999999999995</v>
      </c>
      <c r="I11" s="35">
        <f t="shared" si="19"/>
        <v>0.63830999999999993</v>
      </c>
      <c r="J11" s="36">
        <f t="shared" si="4"/>
        <v>15432.4</v>
      </c>
      <c r="K11" s="37">
        <v>598.20000000000005</v>
      </c>
      <c r="L11" s="38">
        <f t="shared" si="20"/>
        <v>3.8762603353982537E-2</v>
      </c>
      <c r="M11" s="39">
        <v>6.8</v>
      </c>
      <c r="N11" s="4">
        <f t="shared" si="0"/>
        <v>0.26358570280708127</v>
      </c>
      <c r="O11" s="40" t="s">
        <v>31</v>
      </c>
      <c r="P11" s="30">
        <v>1000</v>
      </c>
      <c r="Q11" s="31">
        <v>655</v>
      </c>
      <c r="R11" s="41">
        <f t="shared" si="21"/>
        <v>0.65500000000000003</v>
      </c>
      <c r="S11" s="42">
        <v>200</v>
      </c>
      <c r="T11" s="33" t="s">
        <v>32</v>
      </c>
      <c r="U11" s="40" t="s">
        <v>25</v>
      </c>
      <c r="V11" s="43">
        <f t="shared" si="12"/>
        <v>1.7284237028070812</v>
      </c>
      <c r="W11" s="44">
        <f t="shared" si="7"/>
        <v>1.9012660730877895</v>
      </c>
      <c r="X11" s="45">
        <f t="shared" si="13"/>
        <v>9.9239555510275912E-2</v>
      </c>
      <c r="Y11" s="45">
        <f t="shared" si="14"/>
        <v>0.36930180890446002</v>
      </c>
      <c r="Z11" s="45">
        <f t="shared" si="15"/>
        <v>0.15250062954991858</v>
      </c>
      <c r="AA11" s="46">
        <f t="shared" si="16"/>
        <v>0.37895800603534546</v>
      </c>
      <c r="AC11" s="84"/>
      <c r="AD11" s="79"/>
      <c r="AE11" s="84"/>
      <c r="AF11" s="72"/>
      <c r="AG11" s="72"/>
      <c r="AH11" s="72"/>
    </row>
    <row r="12" spans="1:34" x14ac:dyDescent="0.3">
      <c r="A12" s="29" t="s">
        <v>30</v>
      </c>
      <c r="B12" s="30">
        <v>500</v>
      </c>
      <c r="C12" s="31">
        <v>1715.28</v>
      </c>
      <c r="D12" s="32">
        <f t="shared" si="17"/>
        <v>3.4305599999999998</v>
      </c>
      <c r="E12" s="33">
        <v>20</v>
      </c>
      <c r="F12" s="34">
        <f t="shared" si="18"/>
        <v>0.17152799999999999</v>
      </c>
      <c r="G12" s="30">
        <v>1000</v>
      </c>
      <c r="H12" s="31">
        <v>638.30999999999995</v>
      </c>
      <c r="I12" s="35">
        <f t="shared" si="19"/>
        <v>0.63830999999999993</v>
      </c>
      <c r="J12" s="36">
        <f t="shared" si="4"/>
        <v>15432.4</v>
      </c>
      <c r="K12" s="37">
        <v>598.20000000000005</v>
      </c>
      <c r="L12" s="38">
        <f t="shared" si="20"/>
        <v>3.8762603353982537E-2</v>
      </c>
      <c r="M12" s="39">
        <v>6.8</v>
      </c>
      <c r="N12" s="4">
        <f t="shared" si="0"/>
        <v>0.26358570280708127</v>
      </c>
      <c r="O12" s="40" t="s">
        <v>31</v>
      </c>
      <c r="P12" s="30">
        <v>1000</v>
      </c>
      <c r="Q12" s="31">
        <v>960</v>
      </c>
      <c r="R12" s="41">
        <f t="shared" si="21"/>
        <v>0.96</v>
      </c>
      <c r="S12" s="42">
        <v>230</v>
      </c>
      <c r="T12" s="33" t="s">
        <v>33</v>
      </c>
      <c r="U12" s="40" t="s">
        <v>25</v>
      </c>
      <c r="V12" s="43">
        <f t="shared" si="12"/>
        <v>2.033423702807081</v>
      </c>
      <c r="W12" s="44">
        <f t="shared" si="7"/>
        <v>2.2367660730877894</v>
      </c>
      <c r="X12" s="45">
        <f t="shared" si="13"/>
        <v>8.435428374480472E-2</v>
      </c>
      <c r="Y12" s="45">
        <f t="shared" si="14"/>
        <v>0.31390899944700751</v>
      </c>
      <c r="Z12" s="45">
        <f t="shared" si="15"/>
        <v>0.12962655173302498</v>
      </c>
      <c r="AA12" s="46">
        <f t="shared" si="16"/>
        <v>0.4721101650751629</v>
      </c>
      <c r="AC12" s="84"/>
      <c r="AD12" s="79"/>
      <c r="AE12" s="84"/>
      <c r="AF12" s="72"/>
      <c r="AG12" s="72"/>
      <c r="AH12" s="72"/>
    </row>
    <row r="13" spans="1:34" x14ac:dyDescent="0.3">
      <c r="A13" s="29" t="s">
        <v>34</v>
      </c>
      <c r="B13" s="30">
        <v>500</v>
      </c>
      <c r="C13" s="31">
        <v>1685.44</v>
      </c>
      <c r="D13" s="32">
        <f t="shared" si="17"/>
        <v>3.3708800000000001</v>
      </c>
      <c r="E13" s="33">
        <v>16</v>
      </c>
      <c r="F13" s="34">
        <f t="shared" si="18"/>
        <v>0.21068000000000001</v>
      </c>
      <c r="G13" s="30">
        <v>1000</v>
      </c>
      <c r="H13" s="31">
        <v>638.30999999999995</v>
      </c>
      <c r="I13" s="35">
        <f t="shared" si="19"/>
        <v>0.63830999999999993</v>
      </c>
      <c r="J13" s="36">
        <f t="shared" si="4"/>
        <v>15432.4</v>
      </c>
      <c r="K13" s="37">
        <v>598.20000000000005</v>
      </c>
      <c r="L13" s="38">
        <f t="shared" si="20"/>
        <v>3.8762603353982537E-2</v>
      </c>
      <c r="M13" s="39">
        <v>5.2</v>
      </c>
      <c r="N13" s="4">
        <f t="shared" si="0"/>
        <v>0.20156553744070921</v>
      </c>
      <c r="O13" s="40" t="s">
        <v>35</v>
      </c>
      <c r="P13" s="30">
        <v>1000</v>
      </c>
      <c r="Q13" s="31">
        <v>545</v>
      </c>
      <c r="R13" s="41">
        <f t="shared" si="21"/>
        <v>0.54500000000000004</v>
      </c>
      <c r="S13" s="42">
        <v>180</v>
      </c>
      <c r="T13" s="33" t="s">
        <v>36</v>
      </c>
      <c r="U13" s="40" t="s">
        <v>25</v>
      </c>
      <c r="V13" s="43">
        <f t="shared" si="12"/>
        <v>1.5955555374407093</v>
      </c>
      <c r="W13" s="44">
        <f t="shared" si="7"/>
        <v>1.7551110911847805</v>
      </c>
      <c r="X13" s="45">
        <f t="shared" si="13"/>
        <v>0.1320417842289171</v>
      </c>
      <c r="Y13" s="45">
        <f t="shared" si="14"/>
        <v>0.40005501846952757</v>
      </c>
      <c r="Z13" s="45">
        <f t="shared" si="15"/>
        <v>0.1263293772675709</v>
      </c>
      <c r="AA13" s="46">
        <f t="shared" si="16"/>
        <v>0.34157382003398434</v>
      </c>
      <c r="AC13" s="84"/>
      <c r="AD13" s="79"/>
      <c r="AE13" s="84"/>
      <c r="AF13" s="72"/>
      <c r="AG13" s="72"/>
      <c r="AH13" s="72"/>
    </row>
    <row r="14" spans="1:34" x14ac:dyDescent="0.3">
      <c r="A14" s="29" t="s">
        <v>34</v>
      </c>
      <c r="B14" s="30">
        <v>500</v>
      </c>
      <c r="C14" s="31">
        <v>1685.44</v>
      </c>
      <c r="D14" s="32">
        <f t="shared" si="17"/>
        <v>3.3708800000000001</v>
      </c>
      <c r="E14" s="33">
        <v>16</v>
      </c>
      <c r="F14" s="34">
        <f t="shared" si="18"/>
        <v>0.21068000000000001</v>
      </c>
      <c r="G14" s="30">
        <v>1000</v>
      </c>
      <c r="H14" s="31">
        <v>638.30999999999995</v>
      </c>
      <c r="I14" s="35">
        <f t="shared" si="19"/>
        <v>0.63830999999999993</v>
      </c>
      <c r="J14" s="36">
        <f t="shared" si="4"/>
        <v>15432.4</v>
      </c>
      <c r="K14" s="37">
        <v>598.20000000000005</v>
      </c>
      <c r="L14" s="38">
        <f t="shared" si="20"/>
        <v>3.8762603353982537E-2</v>
      </c>
      <c r="M14" s="39">
        <v>6.1</v>
      </c>
      <c r="N14" s="4">
        <f t="shared" si="0"/>
        <v>0.23645188045929347</v>
      </c>
      <c r="O14" s="40" t="s">
        <v>35</v>
      </c>
      <c r="P14" s="30">
        <v>1000</v>
      </c>
      <c r="Q14" s="31">
        <v>545</v>
      </c>
      <c r="R14" s="41">
        <f t="shared" si="21"/>
        <v>0.54500000000000004</v>
      </c>
      <c r="S14" s="42">
        <v>180</v>
      </c>
      <c r="T14" s="33" t="s">
        <v>36</v>
      </c>
      <c r="U14" s="40" t="s">
        <v>25</v>
      </c>
      <c r="V14" s="43">
        <f t="shared" si="12"/>
        <v>1.6304418804592933</v>
      </c>
      <c r="W14" s="44">
        <f t="shared" si="7"/>
        <v>1.7934860685052227</v>
      </c>
      <c r="X14" s="45">
        <f t="shared" si="13"/>
        <v>0.12921650414220942</v>
      </c>
      <c r="Y14" s="45">
        <f t="shared" si="14"/>
        <v>0.39149509568546464</v>
      </c>
      <c r="Z14" s="45">
        <f t="shared" si="15"/>
        <v>0.14502318867857178</v>
      </c>
      <c r="AA14" s="46">
        <f t="shared" si="16"/>
        <v>0.33426521149375427</v>
      </c>
      <c r="AC14" s="84"/>
      <c r="AD14" s="79"/>
      <c r="AE14" s="84"/>
      <c r="AF14" s="72"/>
      <c r="AG14" s="72"/>
      <c r="AH14" s="72"/>
    </row>
    <row r="15" spans="1:34" x14ac:dyDescent="0.3">
      <c r="A15" s="29" t="s">
        <v>34</v>
      </c>
      <c r="B15" s="30">
        <v>500</v>
      </c>
      <c r="C15" s="31">
        <v>1685.44</v>
      </c>
      <c r="D15" s="32">
        <f t="shared" si="17"/>
        <v>3.3708800000000001</v>
      </c>
      <c r="E15" s="33">
        <v>16</v>
      </c>
      <c r="F15" s="34">
        <f t="shared" si="18"/>
        <v>0.21068000000000001</v>
      </c>
      <c r="G15" s="30">
        <v>1000</v>
      </c>
      <c r="H15" s="31">
        <v>638.30999999999995</v>
      </c>
      <c r="I15" s="35">
        <f t="shared" si="19"/>
        <v>0.63830999999999993</v>
      </c>
      <c r="J15" s="36">
        <f t="shared" si="4"/>
        <v>15432.4</v>
      </c>
      <c r="K15" s="37">
        <v>598.20000000000005</v>
      </c>
      <c r="L15" s="38">
        <f t="shared" si="20"/>
        <v>3.8762603353982537E-2</v>
      </c>
      <c r="M15" s="39">
        <v>6.8</v>
      </c>
      <c r="N15" s="4">
        <f t="shared" si="0"/>
        <v>0.26358570280708127</v>
      </c>
      <c r="O15" s="40" t="s">
        <v>35</v>
      </c>
      <c r="P15" s="30">
        <v>1000</v>
      </c>
      <c r="Q15" s="31">
        <v>930</v>
      </c>
      <c r="R15" s="41">
        <f t="shared" si="21"/>
        <v>0.93</v>
      </c>
      <c r="S15" s="42">
        <v>180</v>
      </c>
      <c r="T15" s="33" t="s">
        <v>33</v>
      </c>
      <c r="U15" s="40" t="s">
        <v>25</v>
      </c>
      <c r="V15" s="43">
        <f t="shared" si="12"/>
        <v>2.0425757028070812</v>
      </c>
      <c r="W15" s="44">
        <f t="shared" si="7"/>
        <v>2.2468332730877894</v>
      </c>
      <c r="X15" s="45">
        <f t="shared" si="13"/>
        <v>0.1031442798964394</v>
      </c>
      <c r="Y15" s="45">
        <f t="shared" si="14"/>
        <v>0.31250249335815561</v>
      </c>
      <c r="Z15" s="45">
        <f t="shared" si="15"/>
        <v>0.12904574476472983</v>
      </c>
      <c r="AA15" s="46">
        <f t="shared" si="16"/>
        <v>0.45530748198067517</v>
      </c>
      <c r="AC15" s="84"/>
      <c r="AD15" s="79"/>
      <c r="AE15" s="84"/>
      <c r="AF15" s="72"/>
      <c r="AG15" s="72"/>
      <c r="AH15" s="72"/>
    </row>
    <row r="16" spans="1:34" x14ac:dyDescent="0.3">
      <c r="A16" s="29" t="s">
        <v>34</v>
      </c>
      <c r="B16" s="30">
        <v>500</v>
      </c>
      <c r="C16" s="31">
        <v>1685.44</v>
      </c>
      <c r="D16" s="32">
        <f t="shared" si="17"/>
        <v>3.3708800000000001</v>
      </c>
      <c r="E16" s="33">
        <v>16</v>
      </c>
      <c r="F16" s="34">
        <f t="shared" si="18"/>
        <v>0.21068000000000001</v>
      </c>
      <c r="G16" s="30">
        <v>1000</v>
      </c>
      <c r="H16" s="31">
        <v>638.30999999999995</v>
      </c>
      <c r="I16" s="35">
        <f t="shared" si="19"/>
        <v>0.63830999999999993</v>
      </c>
      <c r="J16" s="36">
        <f t="shared" si="4"/>
        <v>15432.4</v>
      </c>
      <c r="K16" s="37">
        <v>598.20000000000005</v>
      </c>
      <c r="L16" s="38">
        <f t="shared" si="20"/>
        <v>3.8762603353982537E-2</v>
      </c>
      <c r="M16" s="39">
        <v>5.2</v>
      </c>
      <c r="N16" s="4">
        <f t="shared" si="0"/>
        <v>0.20156553744070921</v>
      </c>
      <c r="O16" s="40" t="s">
        <v>37</v>
      </c>
      <c r="P16" s="30">
        <v>1000</v>
      </c>
      <c r="Q16" s="31">
        <v>545</v>
      </c>
      <c r="R16" s="41">
        <f t="shared" si="21"/>
        <v>0.54500000000000004</v>
      </c>
      <c r="S16" s="42">
        <v>180</v>
      </c>
      <c r="T16" s="33" t="s">
        <v>36</v>
      </c>
      <c r="U16" s="40" t="s">
        <v>25</v>
      </c>
      <c r="V16" s="43">
        <f t="shared" si="12"/>
        <v>1.5955555374407093</v>
      </c>
      <c r="W16" s="44">
        <f t="shared" si="7"/>
        <v>1.7551110911847805</v>
      </c>
      <c r="X16" s="45">
        <f t="shared" si="13"/>
        <v>0.1320417842289171</v>
      </c>
      <c r="Y16" s="45">
        <f t="shared" si="14"/>
        <v>0.40005501846952757</v>
      </c>
      <c r="Z16" s="45">
        <f t="shared" si="15"/>
        <v>0.1263293772675709</v>
      </c>
      <c r="AA16" s="46">
        <f t="shared" si="16"/>
        <v>0.34157382003398434</v>
      </c>
      <c r="AC16" s="84"/>
      <c r="AD16" s="79"/>
      <c r="AE16" s="84"/>
      <c r="AF16" s="72"/>
      <c r="AG16" s="72"/>
      <c r="AH16" s="72"/>
    </row>
    <row r="17" spans="1:34" x14ac:dyDescent="0.3">
      <c r="A17" s="29" t="s">
        <v>38</v>
      </c>
      <c r="B17" s="30">
        <v>500</v>
      </c>
      <c r="C17" s="31">
        <v>1416.97</v>
      </c>
      <c r="D17" s="32">
        <f t="shared" si="17"/>
        <v>2.8339400000000001</v>
      </c>
      <c r="E17" s="33">
        <v>20</v>
      </c>
      <c r="F17" s="34">
        <f t="shared" si="18"/>
        <v>0.14169700000000002</v>
      </c>
      <c r="G17" s="30">
        <v>1000</v>
      </c>
      <c r="H17" s="31">
        <v>638.30999999999995</v>
      </c>
      <c r="I17" s="35">
        <f t="shared" si="19"/>
        <v>0.63830999999999993</v>
      </c>
      <c r="J17" s="36">
        <f t="shared" si="4"/>
        <v>15432.4</v>
      </c>
      <c r="K17" s="37">
        <v>598.20000000000005</v>
      </c>
      <c r="L17" s="38">
        <f t="shared" si="20"/>
        <v>3.8762603353982537E-2</v>
      </c>
      <c r="M17" s="39">
        <v>5</v>
      </c>
      <c r="N17" s="4">
        <f t="shared" si="0"/>
        <v>0.19381301676991269</v>
      </c>
      <c r="O17" s="40" t="s">
        <v>35</v>
      </c>
      <c r="P17" s="30">
        <v>1000</v>
      </c>
      <c r="Q17" s="31">
        <v>480</v>
      </c>
      <c r="R17" s="41">
        <f t="shared" si="21"/>
        <v>0.48</v>
      </c>
      <c r="S17" s="42">
        <v>125</v>
      </c>
      <c r="T17" s="33" t="s">
        <v>39</v>
      </c>
      <c r="U17" s="40" t="s">
        <v>25</v>
      </c>
      <c r="V17" s="43">
        <f t="shared" si="12"/>
        <v>1.4538200167699125</v>
      </c>
      <c r="W17" s="44">
        <f t="shared" si="7"/>
        <v>1.5992020184469038</v>
      </c>
      <c r="X17" s="45">
        <f t="shared" si="13"/>
        <v>9.7465297193267061E-2</v>
      </c>
      <c r="Y17" s="45">
        <f t="shared" si="14"/>
        <v>0.43905709966643108</v>
      </c>
      <c r="Z17" s="45">
        <f t="shared" si="15"/>
        <v>0.1333129373197964</v>
      </c>
      <c r="AA17" s="46">
        <f t="shared" si="16"/>
        <v>0.33016466582050558</v>
      </c>
      <c r="AC17" s="80">
        <v>450</v>
      </c>
      <c r="AD17" s="79">
        <v>50</v>
      </c>
      <c r="AE17" s="80">
        <f>AC17/AD17</f>
        <v>9</v>
      </c>
      <c r="AF17" s="81"/>
      <c r="AG17" s="72"/>
      <c r="AH17" s="72"/>
    </row>
    <row r="18" spans="1:34" x14ac:dyDescent="0.3">
      <c r="A18" s="29" t="s">
        <v>38</v>
      </c>
      <c r="B18" s="30">
        <v>500</v>
      </c>
      <c r="C18" s="31">
        <v>1416.97</v>
      </c>
      <c r="D18" s="32">
        <f t="shared" si="17"/>
        <v>2.8339400000000001</v>
      </c>
      <c r="E18" s="33">
        <v>20</v>
      </c>
      <c r="F18" s="34">
        <f t="shared" si="18"/>
        <v>0.14169700000000002</v>
      </c>
      <c r="G18" s="30">
        <v>1000</v>
      </c>
      <c r="H18" s="31">
        <v>638.30999999999995</v>
      </c>
      <c r="I18" s="35">
        <f t="shared" si="19"/>
        <v>0.63830999999999993</v>
      </c>
      <c r="J18" s="36">
        <f t="shared" si="4"/>
        <v>15432.4</v>
      </c>
      <c r="K18" s="37">
        <v>598.20000000000005</v>
      </c>
      <c r="L18" s="38">
        <f t="shared" si="20"/>
        <v>3.8762603353982537E-2</v>
      </c>
      <c r="M18" s="39">
        <v>5.8</v>
      </c>
      <c r="N18" s="4">
        <f t="shared" si="0"/>
        <v>0.22482309945309872</v>
      </c>
      <c r="O18" s="40" t="s">
        <v>35</v>
      </c>
      <c r="P18" s="30">
        <v>1000</v>
      </c>
      <c r="Q18" s="31">
        <v>480</v>
      </c>
      <c r="R18" s="41">
        <f t="shared" si="21"/>
        <v>0.48</v>
      </c>
      <c r="S18" s="42">
        <v>125</v>
      </c>
      <c r="T18" s="33" t="s">
        <v>39</v>
      </c>
      <c r="U18" s="40" t="s">
        <v>25</v>
      </c>
      <c r="V18" s="43">
        <f t="shared" si="12"/>
        <v>1.4848300994530985</v>
      </c>
      <c r="W18" s="44">
        <f t="shared" si="7"/>
        <v>1.6333131093984086</v>
      </c>
      <c r="X18" s="45">
        <f t="shared" si="13"/>
        <v>9.5429773448282532E-2</v>
      </c>
      <c r="Y18" s="45">
        <f t="shared" si="14"/>
        <v>0.42988756776624215</v>
      </c>
      <c r="Z18" s="45">
        <f t="shared" si="15"/>
        <v>0.15141334994212935</v>
      </c>
      <c r="AA18" s="46">
        <f t="shared" si="16"/>
        <v>0.32326930884334609</v>
      </c>
      <c r="AC18" s="80">
        <v>450</v>
      </c>
      <c r="AD18" s="79">
        <v>50</v>
      </c>
      <c r="AE18" s="80">
        <f t="shared" ref="AE18:AE22" si="22">AC18/AD18</f>
        <v>9</v>
      </c>
      <c r="AF18" s="72"/>
      <c r="AG18" s="72"/>
      <c r="AH18" s="72"/>
    </row>
    <row r="19" spans="1:34" x14ac:dyDescent="0.3">
      <c r="A19" s="29" t="s">
        <v>38</v>
      </c>
      <c r="B19" s="30">
        <v>500</v>
      </c>
      <c r="C19" s="31">
        <v>1416.97</v>
      </c>
      <c r="D19" s="32">
        <f t="shared" si="17"/>
        <v>2.8339400000000001</v>
      </c>
      <c r="E19" s="33">
        <v>20</v>
      </c>
      <c r="F19" s="34">
        <f t="shared" si="18"/>
        <v>0.14169700000000002</v>
      </c>
      <c r="G19" s="30">
        <v>1000</v>
      </c>
      <c r="H19" s="31">
        <v>638.30999999999995</v>
      </c>
      <c r="I19" s="35">
        <f t="shared" si="19"/>
        <v>0.63830999999999993</v>
      </c>
      <c r="J19" s="36">
        <f t="shared" si="4"/>
        <v>15432.4</v>
      </c>
      <c r="K19" s="37">
        <v>598.20000000000005</v>
      </c>
      <c r="L19" s="38">
        <f t="shared" si="20"/>
        <v>3.8762603353982537E-2</v>
      </c>
      <c r="M19" s="39">
        <v>6.2</v>
      </c>
      <c r="N19" s="4">
        <f t="shared" si="0"/>
        <v>0.24032814079469172</v>
      </c>
      <c r="O19" s="40" t="s">
        <v>35</v>
      </c>
      <c r="P19" s="30">
        <v>1000</v>
      </c>
      <c r="Q19" s="31">
        <v>860</v>
      </c>
      <c r="R19" s="41">
        <f t="shared" si="21"/>
        <v>0.86</v>
      </c>
      <c r="S19" s="42">
        <v>125</v>
      </c>
      <c r="T19" s="33" t="s">
        <v>33</v>
      </c>
      <c r="U19" s="40" t="s">
        <v>25</v>
      </c>
      <c r="V19" s="43">
        <f t="shared" si="12"/>
        <v>1.8803351407946916</v>
      </c>
      <c r="W19" s="44">
        <f t="shared" si="7"/>
        <v>2.0683686548741607</v>
      </c>
      <c r="X19" s="45">
        <f t="shared" si="13"/>
        <v>7.5357311005799843E-2</v>
      </c>
      <c r="Y19" s="45">
        <f t="shared" si="14"/>
        <v>0.33946608035535042</v>
      </c>
      <c r="Z19" s="45">
        <f t="shared" si="15"/>
        <v>0.12781133298031178</v>
      </c>
      <c r="AA19" s="46">
        <f t="shared" si="16"/>
        <v>0.45736527565853802</v>
      </c>
      <c r="AC19" s="80">
        <v>450</v>
      </c>
      <c r="AD19" s="79">
        <v>50</v>
      </c>
      <c r="AE19" s="80">
        <f t="shared" si="22"/>
        <v>9</v>
      </c>
      <c r="AF19" s="72"/>
      <c r="AG19" s="72"/>
      <c r="AH19" s="72"/>
    </row>
    <row r="20" spans="1:34" x14ac:dyDescent="0.3">
      <c r="A20" s="29" t="s">
        <v>38</v>
      </c>
      <c r="B20" s="30">
        <v>500</v>
      </c>
      <c r="C20" s="31">
        <v>1416.97</v>
      </c>
      <c r="D20" s="32">
        <f t="shared" si="17"/>
        <v>2.8339400000000001</v>
      </c>
      <c r="E20" s="33">
        <v>20</v>
      </c>
      <c r="F20" s="34">
        <f t="shared" si="18"/>
        <v>0.14169700000000002</v>
      </c>
      <c r="G20" s="30">
        <v>1000</v>
      </c>
      <c r="H20" s="31">
        <v>638.30999999999995</v>
      </c>
      <c r="I20" s="35">
        <f t="shared" si="19"/>
        <v>0.63830999999999993</v>
      </c>
      <c r="J20" s="36">
        <f t="shared" si="4"/>
        <v>15432.4</v>
      </c>
      <c r="K20" s="37">
        <v>598.20000000000005</v>
      </c>
      <c r="L20" s="38">
        <f t="shared" si="20"/>
        <v>3.8762603353982537E-2</v>
      </c>
      <c r="M20" s="39">
        <v>5.4</v>
      </c>
      <c r="N20" s="4">
        <f t="shared" si="0"/>
        <v>0.20931805811150572</v>
      </c>
      <c r="O20" s="40" t="s">
        <v>40</v>
      </c>
      <c r="P20" s="30">
        <v>1000</v>
      </c>
      <c r="Q20" s="31">
        <v>480</v>
      </c>
      <c r="R20" s="41">
        <f t="shared" si="21"/>
        <v>0.48</v>
      </c>
      <c r="S20" s="42">
        <v>125</v>
      </c>
      <c r="T20" s="33" t="s">
        <v>39</v>
      </c>
      <c r="U20" s="40" t="s">
        <v>25</v>
      </c>
      <c r="V20" s="43">
        <f t="shared" si="12"/>
        <v>1.4693250581115056</v>
      </c>
      <c r="W20" s="44">
        <f t="shared" si="7"/>
        <v>1.6162575639226562</v>
      </c>
      <c r="X20" s="45">
        <f t="shared" si="13"/>
        <v>9.6436795396466157E-2</v>
      </c>
      <c r="Y20" s="45">
        <f t="shared" si="14"/>
        <v>0.43442395300901432</v>
      </c>
      <c r="Z20" s="45">
        <f t="shared" si="15"/>
        <v>0.14245864586324966</v>
      </c>
      <c r="AA20" s="46">
        <f t="shared" si="16"/>
        <v>0.32668060573126989</v>
      </c>
      <c r="AC20" s="80">
        <v>450</v>
      </c>
      <c r="AD20" s="79">
        <v>50</v>
      </c>
      <c r="AE20" s="80">
        <f t="shared" si="22"/>
        <v>9</v>
      </c>
      <c r="AF20" s="72"/>
      <c r="AG20" s="72"/>
      <c r="AH20" s="72"/>
    </row>
    <row r="21" spans="1:34" x14ac:dyDescent="0.3">
      <c r="A21" s="29" t="s">
        <v>41</v>
      </c>
      <c r="B21" s="30">
        <v>500</v>
      </c>
      <c r="C21" s="31">
        <v>1295.77</v>
      </c>
      <c r="D21" s="32">
        <f t="shared" si="17"/>
        <v>2.5915400000000002</v>
      </c>
      <c r="E21" s="33">
        <v>25</v>
      </c>
      <c r="F21" s="34">
        <f t="shared" si="18"/>
        <v>0.10366160000000001</v>
      </c>
      <c r="G21" s="30">
        <v>1000</v>
      </c>
      <c r="H21" s="31">
        <v>638.30999999999995</v>
      </c>
      <c r="I21" s="35">
        <f t="shared" si="19"/>
        <v>0.63830999999999993</v>
      </c>
      <c r="J21" s="36">
        <f t="shared" si="4"/>
        <v>15432.4</v>
      </c>
      <c r="K21" s="37">
        <v>598.20000000000005</v>
      </c>
      <c r="L21" s="38">
        <f t="shared" si="20"/>
        <v>3.8762603353982537E-2</v>
      </c>
      <c r="M21" s="39">
        <v>3.2</v>
      </c>
      <c r="N21" s="4">
        <f t="shared" si="0"/>
        <v>0.12404033073274412</v>
      </c>
      <c r="O21" s="40" t="s">
        <v>42</v>
      </c>
      <c r="P21" s="30">
        <v>1000</v>
      </c>
      <c r="Q21" s="31">
        <v>840</v>
      </c>
      <c r="R21" s="41">
        <f t="shared" si="21"/>
        <v>0.84</v>
      </c>
      <c r="S21" s="42">
        <v>95</v>
      </c>
      <c r="T21" s="33" t="s">
        <v>33</v>
      </c>
      <c r="U21" s="40" t="s">
        <v>25</v>
      </c>
      <c r="V21" s="43">
        <f t="shared" si="12"/>
        <v>1.7060119307327439</v>
      </c>
      <c r="W21" s="44">
        <f t="shared" si="7"/>
        <v>1.8766131238060184</v>
      </c>
      <c r="X21" s="45">
        <f t="shared" si="13"/>
        <v>6.0762529342615224E-2</v>
      </c>
      <c r="Y21" s="45">
        <f t="shared" si="14"/>
        <v>0.37415330367932503</v>
      </c>
      <c r="Z21" s="45">
        <f t="shared" si="15"/>
        <v>7.2707774487525384E-2</v>
      </c>
      <c r="AA21" s="46">
        <f t="shared" si="16"/>
        <v>0.49237639249053444</v>
      </c>
      <c r="AC21" s="80">
        <v>420</v>
      </c>
      <c r="AD21" s="79">
        <v>50</v>
      </c>
      <c r="AE21" s="80">
        <f t="shared" si="22"/>
        <v>8.4</v>
      </c>
      <c r="AF21" s="72"/>
      <c r="AG21" s="72"/>
      <c r="AH21" s="72"/>
    </row>
    <row r="22" spans="1:34" x14ac:dyDescent="0.3">
      <c r="A22" s="29" t="s">
        <v>41</v>
      </c>
      <c r="B22" s="30">
        <v>500</v>
      </c>
      <c r="C22" s="31">
        <v>1295.77</v>
      </c>
      <c r="D22" s="32">
        <f t="shared" si="17"/>
        <v>2.5915400000000002</v>
      </c>
      <c r="E22" s="33">
        <v>25</v>
      </c>
      <c r="F22" s="34">
        <f t="shared" si="18"/>
        <v>0.10366160000000001</v>
      </c>
      <c r="G22" s="30">
        <v>1000</v>
      </c>
      <c r="H22" s="31">
        <v>638.30999999999995</v>
      </c>
      <c r="I22" s="35">
        <f t="shared" si="19"/>
        <v>0.63830999999999993</v>
      </c>
      <c r="J22" s="36">
        <f t="shared" si="4"/>
        <v>15432.4</v>
      </c>
      <c r="K22" s="37">
        <v>598.20000000000005</v>
      </c>
      <c r="L22" s="38">
        <f t="shared" si="20"/>
        <v>3.8762603353982537E-2</v>
      </c>
      <c r="M22" s="39">
        <v>5.4</v>
      </c>
      <c r="N22" s="4">
        <f t="shared" si="0"/>
        <v>0.20931805811150572</v>
      </c>
      <c r="O22" s="40" t="s">
        <v>43</v>
      </c>
      <c r="P22" s="30">
        <v>1000</v>
      </c>
      <c r="Q22" s="31">
        <v>430</v>
      </c>
      <c r="R22" s="41">
        <f t="shared" si="21"/>
        <v>0.43</v>
      </c>
      <c r="S22" s="42">
        <v>95</v>
      </c>
      <c r="T22" s="33" t="s">
        <v>39</v>
      </c>
      <c r="U22" s="40" t="s">
        <v>25</v>
      </c>
      <c r="V22" s="43">
        <f t="shared" si="12"/>
        <v>1.3812896581115057</v>
      </c>
      <c r="W22" s="44">
        <f t="shared" si="7"/>
        <v>1.5194186239226564</v>
      </c>
      <c r="X22" s="45">
        <f t="shared" si="13"/>
        <v>7.5046967441807805E-2</v>
      </c>
      <c r="Y22" s="45">
        <f t="shared" si="14"/>
        <v>0.46211161884227459</v>
      </c>
      <c r="Z22" s="45">
        <f t="shared" si="15"/>
        <v>0.15153813458480869</v>
      </c>
      <c r="AA22" s="46">
        <f t="shared" si="16"/>
        <v>0.31130327913110883</v>
      </c>
      <c r="AC22" s="80">
        <v>420</v>
      </c>
      <c r="AD22" s="79">
        <v>50</v>
      </c>
      <c r="AE22" s="80">
        <f t="shared" si="22"/>
        <v>8.4</v>
      </c>
      <c r="AF22" s="72"/>
      <c r="AG22" s="72"/>
      <c r="AH22" s="72"/>
    </row>
    <row r="23" spans="1:34" x14ac:dyDescent="0.3">
      <c r="A23" s="29" t="s">
        <v>44</v>
      </c>
      <c r="B23" s="30">
        <v>500</v>
      </c>
      <c r="C23" s="31">
        <v>2274.6</v>
      </c>
      <c r="D23" s="32">
        <f t="shared" si="17"/>
        <v>4.5491999999999999</v>
      </c>
      <c r="E23" s="33">
        <v>14</v>
      </c>
      <c r="F23" s="34">
        <f t="shared" si="18"/>
        <v>0.32494285714285714</v>
      </c>
      <c r="G23" s="30">
        <v>1000</v>
      </c>
      <c r="H23" s="31">
        <v>638.30999999999995</v>
      </c>
      <c r="I23" s="35">
        <f t="shared" si="19"/>
        <v>0.63830999999999993</v>
      </c>
      <c r="J23" s="36">
        <f t="shared" si="4"/>
        <v>15432.4</v>
      </c>
      <c r="K23" s="37">
        <v>598.20000000000005</v>
      </c>
      <c r="L23" s="38">
        <f t="shared" si="20"/>
        <v>3.8762603353982537E-2</v>
      </c>
      <c r="M23" s="39">
        <v>18</v>
      </c>
      <c r="N23" s="4">
        <f t="shared" si="0"/>
        <v>0.69772686037168563</v>
      </c>
      <c r="O23" s="40" t="s">
        <v>45</v>
      </c>
      <c r="P23" s="30">
        <v>1000</v>
      </c>
      <c r="Q23" s="31">
        <v>710</v>
      </c>
      <c r="R23" s="41">
        <f t="shared" si="21"/>
        <v>0.71</v>
      </c>
      <c r="S23" s="42">
        <v>230</v>
      </c>
      <c r="T23" s="33" t="s">
        <v>32</v>
      </c>
      <c r="U23" s="40" t="s">
        <v>25</v>
      </c>
      <c r="V23" s="43">
        <f t="shared" si="12"/>
        <v>2.3709797175145426</v>
      </c>
      <c r="W23" s="44">
        <f t="shared" si="7"/>
        <v>2.6080776892659969</v>
      </c>
      <c r="X23" s="45">
        <f t="shared" si="13"/>
        <v>0.13705003663358586</v>
      </c>
      <c r="Y23" s="45">
        <f t="shared" si="14"/>
        <v>0.26921782387456666</v>
      </c>
      <c r="Z23" s="45">
        <f t="shared" si="15"/>
        <v>0.29427786969983055</v>
      </c>
      <c r="AA23" s="46">
        <f t="shared" si="16"/>
        <v>0.29945426979201695</v>
      </c>
      <c r="AC23" s="84"/>
      <c r="AD23" s="79"/>
      <c r="AE23" s="84"/>
      <c r="AF23" s="72"/>
      <c r="AG23" s="72"/>
      <c r="AH23" s="72"/>
    </row>
    <row r="24" spans="1:34" x14ac:dyDescent="0.3">
      <c r="A24" s="29" t="s">
        <v>44</v>
      </c>
      <c r="B24" s="30">
        <v>500</v>
      </c>
      <c r="C24" s="31">
        <v>2274.6</v>
      </c>
      <c r="D24" s="32">
        <f t="shared" si="17"/>
        <v>4.5491999999999999</v>
      </c>
      <c r="E24" s="33">
        <v>14</v>
      </c>
      <c r="F24" s="34">
        <f t="shared" si="18"/>
        <v>0.32494285714285714</v>
      </c>
      <c r="G24" s="30">
        <v>1000</v>
      </c>
      <c r="H24" s="31">
        <v>638.30999999999995</v>
      </c>
      <c r="I24" s="35">
        <f t="shared" si="19"/>
        <v>0.63830999999999993</v>
      </c>
      <c r="J24" s="36">
        <f t="shared" si="4"/>
        <v>15432.4</v>
      </c>
      <c r="K24" s="37">
        <v>598.20000000000005</v>
      </c>
      <c r="L24" s="38">
        <f t="shared" si="20"/>
        <v>3.8762603353982537E-2</v>
      </c>
      <c r="M24" s="39">
        <v>18</v>
      </c>
      <c r="N24" s="4">
        <f t="shared" si="0"/>
        <v>0.69772686037168563</v>
      </c>
      <c r="O24" s="40" t="s">
        <v>45</v>
      </c>
      <c r="P24" s="30">
        <v>1000</v>
      </c>
      <c r="Q24" s="31">
        <v>1130</v>
      </c>
      <c r="R24" s="41">
        <f t="shared" si="21"/>
        <v>1.1299999999999999</v>
      </c>
      <c r="S24" s="42">
        <v>240</v>
      </c>
      <c r="T24" s="33" t="s">
        <v>46</v>
      </c>
      <c r="U24" s="40" t="s">
        <v>25</v>
      </c>
      <c r="V24" s="43">
        <f t="shared" si="12"/>
        <v>2.7909797175145425</v>
      </c>
      <c r="W24" s="44">
        <f t="shared" si="7"/>
        <v>3.0700776892659971</v>
      </c>
      <c r="X24" s="45">
        <f t="shared" si="13"/>
        <v>0.11642609048847881</v>
      </c>
      <c r="Y24" s="45">
        <f t="shared" si="14"/>
        <v>0.22870463586472622</v>
      </c>
      <c r="Z24" s="45">
        <f t="shared" si="15"/>
        <v>0.24999352592681465</v>
      </c>
      <c r="AA24" s="46">
        <f t="shared" si="16"/>
        <v>0.40487574771998031</v>
      </c>
      <c r="AC24" s="84"/>
      <c r="AD24" s="79"/>
      <c r="AE24" s="84"/>
      <c r="AF24" s="72"/>
      <c r="AG24" s="72"/>
      <c r="AH24" s="72"/>
    </row>
    <row r="25" spans="1:34" x14ac:dyDescent="0.3">
      <c r="A25" s="29" t="s">
        <v>44</v>
      </c>
      <c r="B25" s="30">
        <v>500</v>
      </c>
      <c r="C25" s="31">
        <v>2274.6</v>
      </c>
      <c r="D25" s="32">
        <f t="shared" si="17"/>
        <v>4.5491999999999999</v>
      </c>
      <c r="E25" s="33">
        <v>14</v>
      </c>
      <c r="F25" s="34">
        <f t="shared" si="18"/>
        <v>0.32494285714285714</v>
      </c>
      <c r="G25" s="30">
        <v>1000</v>
      </c>
      <c r="H25" s="31">
        <v>638.30999999999995</v>
      </c>
      <c r="I25" s="35">
        <f t="shared" si="19"/>
        <v>0.63830999999999993</v>
      </c>
      <c r="J25" s="36">
        <f t="shared" si="4"/>
        <v>15432.4</v>
      </c>
      <c r="K25" s="37">
        <v>598.20000000000005</v>
      </c>
      <c r="L25" s="38">
        <f t="shared" si="20"/>
        <v>3.8762603353982537E-2</v>
      </c>
      <c r="M25" s="39">
        <v>15.6</v>
      </c>
      <c r="N25" s="4">
        <f t="shared" si="0"/>
        <v>0.60469661232212757</v>
      </c>
      <c r="O25" s="40" t="s">
        <v>45</v>
      </c>
      <c r="P25" s="30">
        <v>1000</v>
      </c>
      <c r="Q25" s="31">
        <v>710</v>
      </c>
      <c r="R25" s="41">
        <f t="shared" si="21"/>
        <v>0.71</v>
      </c>
      <c r="S25" s="42">
        <v>230</v>
      </c>
      <c r="T25" s="33" t="s">
        <v>32</v>
      </c>
      <c r="U25" s="40" t="s">
        <v>25</v>
      </c>
      <c r="V25" s="43">
        <f t="shared" si="12"/>
        <v>2.2779494694649847</v>
      </c>
      <c r="W25" s="44">
        <f t="shared" si="7"/>
        <v>2.5057444164114835</v>
      </c>
      <c r="X25" s="45">
        <f t="shared" si="13"/>
        <v>0.14264708743481283</v>
      </c>
      <c r="Y25" s="45">
        <f t="shared" si="14"/>
        <v>0.28021253700149806</v>
      </c>
      <c r="Z25" s="45">
        <f t="shared" si="15"/>
        <v>0.26545655223166603</v>
      </c>
      <c r="AA25" s="46">
        <f t="shared" si="16"/>
        <v>0.31168382333202305</v>
      </c>
      <c r="AC25" s="84"/>
      <c r="AD25" s="79"/>
      <c r="AE25" s="84"/>
      <c r="AF25" s="72"/>
      <c r="AG25" s="72"/>
      <c r="AH25" s="72"/>
    </row>
    <row r="26" spans="1:34" x14ac:dyDescent="0.3">
      <c r="A26" s="29" t="s">
        <v>47</v>
      </c>
      <c r="B26" s="30">
        <v>500</v>
      </c>
      <c r="C26" s="31">
        <v>1528.83</v>
      </c>
      <c r="D26" s="32">
        <f t="shared" si="17"/>
        <v>3.0576599999999998</v>
      </c>
      <c r="E26" s="33">
        <v>14</v>
      </c>
      <c r="F26" s="34">
        <f t="shared" si="18"/>
        <v>0.21840428571428569</v>
      </c>
      <c r="G26" s="30">
        <v>1000</v>
      </c>
      <c r="H26" s="31">
        <v>638.30999999999995</v>
      </c>
      <c r="I26" s="35">
        <f t="shared" si="19"/>
        <v>0.63830999999999993</v>
      </c>
      <c r="J26" s="36">
        <f t="shared" si="4"/>
        <v>15432.4</v>
      </c>
      <c r="K26" s="37">
        <v>598.20000000000005</v>
      </c>
      <c r="L26" s="38">
        <f t="shared" si="20"/>
        <v>3.8762603353982537E-2</v>
      </c>
      <c r="M26" s="39">
        <v>13</v>
      </c>
      <c r="N26" s="4">
        <f t="shared" si="0"/>
        <v>0.50391384360177294</v>
      </c>
      <c r="O26" s="40" t="s">
        <v>45</v>
      </c>
      <c r="P26" s="30">
        <v>1000</v>
      </c>
      <c r="Q26" s="31">
        <v>490</v>
      </c>
      <c r="R26" s="41">
        <f t="shared" si="21"/>
        <v>0.49</v>
      </c>
      <c r="S26" s="42">
        <v>158</v>
      </c>
      <c r="T26" s="33" t="s">
        <v>32</v>
      </c>
      <c r="U26" s="40" t="s">
        <v>25</v>
      </c>
      <c r="V26" s="43">
        <f t="shared" si="12"/>
        <v>1.8506281293160585</v>
      </c>
      <c r="W26" s="44">
        <f t="shared" si="7"/>
        <v>2.0356909422476646</v>
      </c>
      <c r="X26" s="45">
        <f t="shared" si="13"/>
        <v>0.11801630065733516</v>
      </c>
      <c r="Y26" s="45">
        <f t="shared" si="14"/>
        <v>0.34491532355336124</v>
      </c>
      <c r="Z26" s="45">
        <f t="shared" si="15"/>
        <v>0.27229340979919381</v>
      </c>
      <c r="AA26" s="46">
        <f t="shared" si="16"/>
        <v>0.26477496599010986</v>
      </c>
      <c r="AC26" s="84"/>
      <c r="AD26" s="79"/>
      <c r="AE26" s="84"/>
      <c r="AF26" s="72"/>
      <c r="AG26" s="72"/>
      <c r="AH26" s="72"/>
    </row>
    <row r="27" spans="1:34" x14ac:dyDescent="0.3">
      <c r="A27" s="29" t="s">
        <v>47</v>
      </c>
      <c r="B27" s="30">
        <v>500</v>
      </c>
      <c r="C27" s="31">
        <v>1528.83</v>
      </c>
      <c r="D27" s="32">
        <f t="shared" si="17"/>
        <v>3.0576599999999998</v>
      </c>
      <c r="E27" s="33">
        <v>14</v>
      </c>
      <c r="F27" s="34">
        <f t="shared" si="18"/>
        <v>0.21840428571428569</v>
      </c>
      <c r="G27" s="30">
        <v>1000</v>
      </c>
      <c r="H27" s="31">
        <v>638.30999999999995</v>
      </c>
      <c r="I27" s="35">
        <f t="shared" si="19"/>
        <v>0.63830999999999993</v>
      </c>
      <c r="J27" s="36">
        <f t="shared" si="4"/>
        <v>15432.4</v>
      </c>
      <c r="K27" s="37">
        <v>598.20000000000005</v>
      </c>
      <c r="L27" s="38">
        <f t="shared" si="20"/>
        <v>3.8762603353982537E-2</v>
      </c>
      <c r="M27" s="39">
        <v>13</v>
      </c>
      <c r="N27" s="4">
        <f t="shared" si="0"/>
        <v>0.50391384360177294</v>
      </c>
      <c r="O27" s="40" t="s">
        <v>45</v>
      </c>
      <c r="P27" s="30">
        <v>1000</v>
      </c>
      <c r="Q27" s="31">
        <v>890</v>
      </c>
      <c r="R27" s="41">
        <f t="shared" si="21"/>
        <v>0.89</v>
      </c>
      <c r="S27" s="42">
        <v>158</v>
      </c>
      <c r="T27" s="33" t="s">
        <v>24</v>
      </c>
      <c r="U27" s="40" t="s">
        <v>25</v>
      </c>
      <c r="V27" s="43">
        <f t="shared" si="12"/>
        <v>2.2506281293160586</v>
      </c>
      <c r="W27" s="44">
        <f t="shared" si="7"/>
        <v>2.4756909422476645</v>
      </c>
      <c r="X27" s="45">
        <f t="shared" si="13"/>
        <v>9.7041480495783358E-2</v>
      </c>
      <c r="Y27" s="45">
        <f t="shared" si="14"/>
        <v>0.28361415717041422</v>
      </c>
      <c r="Z27" s="45">
        <f t="shared" si="15"/>
        <v>0.22389920264388896</v>
      </c>
      <c r="AA27" s="46">
        <f t="shared" si="16"/>
        <v>0.39544515968991345</v>
      </c>
      <c r="AC27" s="84"/>
      <c r="AD27" s="79"/>
      <c r="AE27" s="84"/>
      <c r="AF27" s="72"/>
      <c r="AG27" s="72"/>
      <c r="AH27" s="72"/>
    </row>
    <row r="28" spans="1:34" x14ac:dyDescent="0.3">
      <c r="A28" s="29" t="s">
        <v>47</v>
      </c>
      <c r="B28" s="30">
        <v>500</v>
      </c>
      <c r="C28" s="31">
        <v>1528.83</v>
      </c>
      <c r="D28" s="32">
        <f t="shared" si="17"/>
        <v>3.0576599999999998</v>
      </c>
      <c r="E28" s="33">
        <v>14</v>
      </c>
      <c r="F28" s="34">
        <f t="shared" si="18"/>
        <v>0.21840428571428569</v>
      </c>
      <c r="G28" s="30">
        <v>1000</v>
      </c>
      <c r="H28" s="31">
        <v>638.30999999999995</v>
      </c>
      <c r="I28" s="35">
        <f t="shared" si="19"/>
        <v>0.63830999999999993</v>
      </c>
      <c r="J28" s="36">
        <f t="shared" si="4"/>
        <v>15432.4</v>
      </c>
      <c r="K28" s="37">
        <v>598.20000000000005</v>
      </c>
      <c r="L28" s="38">
        <f t="shared" si="20"/>
        <v>3.8762603353982537E-2</v>
      </c>
      <c r="M28" s="39">
        <v>11.8</v>
      </c>
      <c r="N28" s="4">
        <f t="shared" si="0"/>
        <v>0.45739871957699396</v>
      </c>
      <c r="O28" s="40" t="s">
        <v>45</v>
      </c>
      <c r="P28" s="30">
        <v>1000</v>
      </c>
      <c r="Q28" s="31">
        <v>490</v>
      </c>
      <c r="R28" s="41">
        <f t="shared" si="21"/>
        <v>0.49</v>
      </c>
      <c r="S28" s="42">
        <v>158</v>
      </c>
      <c r="T28" s="33" t="s">
        <v>32</v>
      </c>
      <c r="U28" s="40" t="s">
        <v>25</v>
      </c>
      <c r="V28" s="43">
        <f t="shared" si="12"/>
        <v>1.8041130052912797</v>
      </c>
      <c r="W28" s="44">
        <f t="shared" si="7"/>
        <v>1.9845243058204078</v>
      </c>
      <c r="X28" s="45">
        <f t="shared" si="13"/>
        <v>0.12105909390028682</v>
      </c>
      <c r="Y28" s="45">
        <f t="shared" si="14"/>
        <v>0.35380821385794664</v>
      </c>
      <c r="Z28" s="45">
        <f t="shared" si="15"/>
        <v>0.25353108050077244</v>
      </c>
      <c r="AA28" s="46">
        <f t="shared" si="16"/>
        <v>0.27160161174099401</v>
      </c>
      <c r="AC28" s="84"/>
      <c r="AD28" s="79"/>
      <c r="AE28" s="84"/>
      <c r="AF28" s="72"/>
      <c r="AG28" s="72"/>
      <c r="AH28" s="72"/>
    </row>
    <row r="29" spans="1:34" x14ac:dyDescent="0.3">
      <c r="A29" s="29" t="s">
        <v>48</v>
      </c>
      <c r="B29" s="30">
        <v>500</v>
      </c>
      <c r="C29" s="47">
        <v>1295.77</v>
      </c>
      <c r="D29" s="32">
        <f t="shared" si="17"/>
        <v>2.5915400000000002</v>
      </c>
      <c r="E29" s="33">
        <v>30</v>
      </c>
      <c r="F29" s="34">
        <f t="shared" si="18"/>
        <v>8.6384666666666679E-2</v>
      </c>
      <c r="G29" s="30">
        <v>1000</v>
      </c>
      <c r="H29" s="31">
        <v>638.30999999999995</v>
      </c>
      <c r="I29" s="35">
        <f t="shared" si="19"/>
        <v>0.63830999999999993</v>
      </c>
      <c r="J29" s="36">
        <f t="shared" si="4"/>
        <v>15432.4</v>
      </c>
      <c r="K29" s="37">
        <v>598.20000000000005</v>
      </c>
      <c r="L29" s="38">
        <f t="shared" si="20"/>
        <v>3.8762603353982537E-2</v>
      </c>
      <c r="M29" s="39">
        <v>3.9</v>
      </c>
      <c r="N29" s="4">
        <f>M29*L29</f>
        <v>0.15117415308053189</v>
      </c>
      <c r="O29" s="40" t="s">
        <v>42</v>
      </c>
      <c r="P29" s="30">
        <v>1000</v>
      </c>
      <c r="Q29" s="31">
        <v>490</v>
      </c>
      <c r="R29" s="41">
        <v>0.49</v>
      </c>
      <c r="S29" s="42">
        <v>158</v>
      </c>
      <c r="T29" s="33" t="s">
        <v>32</v>
      </c>
      <c r="U29" s="40" t="s">
        <v>25</v>
      </c>
      <c r="V29" s="43">
        <f t="shared" si="12"/>
        <v>1.3658688197471984</v>
      </c>
      <c r="W29" s="44">
        <f t="shared" si="7"/>
        <v>1.5024557017219184</v>
      </c>
      <c r="X29" s="45">
        <f t="shared" si="13"/>
        <v>6.3245214633902522E-2</v>
      </c>
      <c r="Y29" s="45">
        <f t="shared" si="14"/>
        <v>0.46732891971144158</v>
      </c>
      <c r="Z29" s="45">
        <f t="shared" si="15"/>
        <v>0.1106798477971786</v>
      </c>
      <c r="AA29" s="46">
        <f t="shared" si="16"/>
        <v>0.3587460178574774</v>
      </c>
      <c r="AC29" s="80">
        <v>450</v>
      </c>
      <c r="AD29" s="79">
        <v>50</v>
      </c>
      <c r="AE29" s="80">
        <f t="shared" ref="AE29:AE31" si="23">AC29/AD29</f>
        <v>9</v>
      </c>
      <c r="AF29" s="72"/>
      <c r="AG29" s="72"/>
      <c r="AH29" s="72"/>
    </row>
    <row r="30" spans="1:34" x14ac:dyDescent="0.3">
      <c r="A30" s="29" t="s">
        <v>48</v>
      </c>
      <c r="B30" s="30">
        <v>500</v>
      </c>
      <c r="C30" s="47">
        <v>1295.77</v>
      </c>
      <c r="D30" s="32">
        <f t="shared" si="17"/>
        <v>2.5915400000000002</v>
      </c>
      <c r="E30" s="33">
        <v>30</v>
      </c>
      <c r="F30" s="34">
        <f t="shared" si="18"/>
        <v>8.6384666666666679E-2</v>
      </c>
      <c r="G30" s="30">
        <v>1000</v>
      </c>
      <c r="H30" s="31">
        <v>638.30999999999995</v>
      </c>
      <c r="I30" s="35">
        <f t="shared" si="19"/>
        <v>0.63830999999999993</v>
      </c>
      <c r="J30" s="36">
        <f t="shared" si="4"/>
        <v>15432.4</v>
      </c>
      <c r="K30" s="37">
        <v>598.20000000000005</v>
      </c>
      <c r="L30" s="38">
        <f t="shared" si="20"/>
        <v>3.8762603353982537E-2</v>
      </c>
      <c r="M30" s="39">
        <v>4.0999999999999996</v>
      </c>
      <c r="N30" s="4">
        <f>M30*L30</f>
        <v>0.15892667375132838</v>
      </c>
      <c r="O30" s="40" t="s">
        <v>49</v>
      </c>
      <c r="P30" s="30">
        <v>1000</v>
      </c>
      <c r="Q30" s="31">
        <v>890</v>
      </c>
      <c r="R30" s="41">
        <v>0.89</v>
      </c>
      <c r="S30" s="42">
        <v>158</v>
      </c>
      <c r="T30" s="33" t="s">
        <v>24</v>
      </c>
      <c r="U30" s="40" t="s">
        <v>25</v>
      </c>
      <c r="V30" s="43">
        <f t="shared" si="12"/>
        <v>1.773621340417995</v>
      </c>
      <c r="W30" s="44">
        <f t="shared" si="7"/>
        <v>1.9509834744597947</v>
      </c>
      <c r="X30" s="45">
        <f t="shared" si="13"/>
        <v>4.8705247674967721E-2</v>
      </c>
      <c r="Y30" s="45">
        <f t="shared" si="14"/>
        <v>0.35989079825210457</v>
      </c>
      <c r="Z30" s="45">
        <f t="shared" si="15"/>
        <v>8.9605751875918238E-2</v>
      </c>
      <c r="AA30" s="46">
        <f t="shared" si="16"/>
        <v>0.50179820219700944</v>
      </c>
      <c r="AC30" s="80">
        <v>450</v>
      </c>
      <c r="AD30" s="79">
        <v>50</v>
      </c>
      <c r="AE30" s="80">
        <f t="shared" si="23"/>
        <v>9</v>
      </c>
      <c r="AF30" s="72"/>
      <c r="AG30" s="72"/>
      <c r="AH30" s="72"/>
    </row>
    <row r="31" spans="1:34" ht="14.4" thickBot="1" x14ac:dyDescent="0.35">
      <c r="A31" s="48" t="s">
        <v>48</v>
      </c>
      <c r="B31" s="49">
        <v>500</v>
      </c>
      <c r="C31" s="50">
        <v>1295.77</v>
      </c>
      <c r="D31" s="51">
        <f t="shared" si="17"/>
        <v>2.5915400000000002</v>
      </c>
      <c r="E31" s="52">
        <v>30</v>
      </c>
      <c r="F31" s="53">
        <f t="shared" si="18"/>
        <v>8.6384666666666679E-2</v>
      </c>
      <c r="G31" s="49">
        <v>1000</v>
      </c>
      <c r="H31" s="54">
        <v>638.30999999999995</v>
      </c>
      <c r="I31" s="55">
        <f t="shared" si="19"/>
        <v>0.63830999999999993</v>
      </c>
      <c r="J31" s="56">
        <f t="shared" si="4"/>
        <v>15432.4</v>
      </c>
      <c r="K31" s="57">
        <v>598.20000000000005</v>
      </c>
      <c r="L31" s="58">
        <f t="shared" si="20"/>
        <v>3.8762603353982537E-2</v>
      </c>
      <c r="M31" s="59">
        <v>9.8000000000000007</v>
      </c>
      <c r="N31" s="60">
        <f>M31*L31</f>
        <v>0.37987351286902887</v>
      </c>
      <c r="O31" s="61" t="s">
        <v>45</v>
      </c>
      <c r="P31" s="49">
        <v>1000</v>
      </c>
      <c r="Q31" s="54">
        <v>490</v>
      </c>
      <c r="R31" s="62">
        <v>0.49</v>
      </c>
      <c r="S31" s="63">
        <v>158</v>
      </c>
      <c r="T31" s="52" t="s">
        <v>32</v>
      </c>
      <c r="U31" s="61" t="s">
        <v>25</v>
      </c>
      <c r="V31" s="64">
        <f t="shared" si="12"/>
        <v>1.5945681795356954</v>
      </c>
      <c r="W31" s="65">
        <f t="shared" si="7"/>
        <v>1.754024997489265</v>
      </c>
      <c r="X31" s="66">
        <f t="shared" si="13"/>
        <v>5.4174332446430773E-2</v>
      </c>
      <c r="Y31" s="66">
        <f t="shared" si="14"/>
        <v>0.40030273286016677</v>
      </c>
      <c r="Z31" s="66">
        <f t="shared" si="15"/>
        <v>0.2382297086723755</v>
      </c>
      <c r="AA31" s="67">
        <f t="shared" si="16"/>
        <v>0.30729322602102699</v>
      </c>
      <c r="AC31" s="80">
        <v>450</v>
      </c>
      <c r="AD31" s="79">
        <v>50</v>
      </c>
      <c r="AE31" s="80">
        <f t="shared" si="23"/>
        <v>9</v>
      </c>
      <c r="AF31" s="72"/>
      <c r="AG31" s="72"/>
      <c r="AH31" s="72"/>
    </row>
    <row r="37" spans="3:3" x14ac:dyDescent="0.3">
      <c r="C37" s="68"/>
    </row>
    <row r="39" spans="3:3" x14ac:dyDescent="0.3">
      <c r="C39" s="68"/>
    </row>
  </sheetData>
  <mergeCells count="14">
    <mergeCell ref="Z2:Z3"/>
    <mergeCell ref="AA2:AA3"/>
    <mergeCell ref="AF1:AH1"/>
    <mergeCell ref="AF3:AH3"/>
    <mergeCell ref="X1:AA1"/>
    <mergeCell ref="A2:A3"/>
    <mergeCell ref="B2:F2"/>
    <mergeCell ref="G2:I2"/>
    <mergeCell ref="J2:O2"/>
    <mergeCell ref="P2:U2"/>
    <mergeCell ref="V2:V3"/>
    <mergeCell ref="W2:W3"/>
    <mergeCell ref="X2:X3"/>
    <mergeCell ref="Y2:Y3"/>
  </mergeCells>
  <pageMargins left="0.511811024" right="0.511811024" top="0.78740157499999996" bottom="0.78740157499999996" header="0.31496062000000002" footer="0.31496062000000002"/>
  <pageSetup scale="53" orientation="landscape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custo da recarga</vt:lpstr>
      <vt:lpstr>'custo da recarga'!Area_de_impressao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Gonçalves</dc:creator>
  <cp:lastModifiedBy>Alessandro Gonçalves</cp:lastModifiedBy>
  <dcterms:created xsi:type="dcterms:W3CDTF">2026-06-18T16:45:04Z</dcterms:created>
  <dcterms:modified xsi:type="dcterms:W3CDTF">2026-06-18T16:56:17Z</dcterms:modified>
</cp:coreProperties>
</file>